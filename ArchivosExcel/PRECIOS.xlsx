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ny\OneDrive\Escritorio\MDN Colectivo\"/>
    </mc:Choice>
  </mc:AlternateContent>
  <xr:revisionPtr revIDLastSave="0" documentId="13_ncr:1_{A798917F-8CA9-43D3-948A-4E774968D986}" xr6:coauthVersionLast="47" xr6:coauthVersionMax="47" xr10:uidLastSave="{00000000-0000-0000-0000-000000000000}"/>
  <bookViews>
    <workbookView xWindow="-108" yWindow="-108" windowWidth="23256" windowHeight="12456" xr2:uid="{3C1C4559-A0AE-4E8D-99E4-8B77046475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I17" i="1"/>
  <c r="I18" i="1"/>
  <c r="H16" i="1"/>
  <c r="H17" i="1"/>
  <c r="H18" i="1"/>
  <c r="G16" i="1"/>
  <c r="G17" i="1"/>
  <c r="G18" i="1"/>
  <c r="F16" i="1"/>
  <c r="F17" i="1"/>
  <c r="F18" i="1"/>
  <c r="E16" i="1"/>
  <c r="E17" i="1"/>
  <c r="E18" i="1"/>
  <c r="I13" i="1"/>
  <c r="H13" i="1"/>
  <c r="G13" i="1"/>
  <c r="F13" i="1"/>
  <c r="F15" i="1"/>
  <c r="I15" i="1" s="1"/>
  <c r="E13" i="1"/>
  <c r="E14" i="1"/>
  <c r="F14" i="1" s="1"/>
  <c r="E15" i="1"/>
  <c r="I12" i="1"/>
  <c r="H12" i="1"/>
  <c r="G12" i="1"/>
  <c r="F12" i="1"/>
  <c r="E12" i="1"/>
  <c r="E10" i="1"/>
  <c r="E11" i="1"/>
  <c r="F11" i="1" s="1"/>
  <c r="E9" i="1"/>
  <c r="F10" i="1"/>
  <c r="G10" i="1" s="1"/>
  <c r="E3" i="1"/>
  <c r="F3" i="1" s="1"/>
  <c r="G3" i="1" s="1"/>
  <c r="E4" i="1"/>
  <c r="F4" i="1" s="1"/>
  <c r="G4" i="1" s="1"/>
  <c r="E5" i="1"/>
  <c r="E6" i="1"/>
  <c r="E7" i="1"/>
  <c r="E8" i="1"/>
  <c r="G15" i="1" l="1"/>
  <c r="H15" i="1"/>
  <c r="H14" i="1"/>
  <c r="I14" i="1"/>
  <c r="G14" i="1"/>
  <c r="I11" i="1"/>
  <c r="G11" i="1"/>
  <c r="H11" i="1"/>
  <c r="I10" i="1"/>
  <c r="I4" i="1"/>
  <c r="H4" i="1"/>
  <c r="I3" i="1"/>
  <c r="H10" i="1"/>
  <c r="H3" i="1"/>
  <c r="F9" i="1"/>
  <c r="G9" i="1" s="1"/>
  <c r="F8" i="1"/>
  <c r="G8" i="1" s="1"/>
  <c r="F6" i="1"/>
  <c r="G6" i="1" s="1"/>
  <c r="F7" i="1"/>
  <c r="F5" i="1"/>
  <c r="G5" i="1" s="1"/>
  <c r="I7" i="1" l="1"/>
  <c r="G7" i="1"/>
  <c r="H7" i="1"/>
  <c r="H5" i="1"/>
  <c r="I5" i="1"/>
  <c r="H6" i="1"/>
  <c r="I6" i="1"/>
  <c r="H9" i="1"/>
  <c r="I9" i="1"/>
  <c r="I8" i="1"/>
  <c r="H8" i="1"/>
</calcChain>
</file>

<file path=xl/sharedStrings.xml><?xml version="1.0" encoding="utf-8"?>
<sst xmlns="http://schemas.openxmlformats.org/spreadsheetml/2006/main" count="26" uniqueCount="26">
  <si>
    <t>DESCRIPCIÓN</t>
  </si>
  <si>
    <t>PRECIO</t>
  </si>
  <si>
    <t>INSUMOS</t>
  </si>
  <si>
    <t>ENVIO</t>
  </si>
  <si>
    <t>PRECIO ML</t>
  </si>
  <si>
    <t>PRECIO NETO 5ML</t>
  </si>
  <si>
    <t>PRECIO NETO 10ML</t>
  </si>
  <si>
    <t>Hawas Kobra</t>
  </si>
  <si>
    <t>NETO</t>
  </si>
  <si>
    <t>Burberry Her EDP</t>
  </si>
  <si>
    <t>Jazz Club Replica</t>
  </si>
  <si>
    <t>By the Fireplace Replica</t>
  </si>
  <si>
    <t>PRECIO2</t>
  </si>
  <si>
    <t>Yves Saint Laurent Myself EDP</t>
  </si>
  <si>
    <t>Dolce&amp;Gabbana The One EDP</t>
  </si>
  <si>
    <t>Xerjoff Erba Gold V EDP</t>
  </si>
  <si>
    <t xml:space="preserve">PRECIO 5ML </t>
  </si>
  <si>
    <t xml:space="preserve">NETO/CANTIDAD DE DECANTS </t>
  </si>
  <si>
    <t>Azzaro The Most Wanted Parfum EDP</t>
  </si>
  <si>
    <t>Bentley Intense EDP</t>
  </si>
  <si>
    <t>Valentino Born in Roma Intense</t>
  </si>
  <si>
    <t>Hawas Eclat</t>
  </si>
  <si>
    <t>Vulcan Feu French Avenue</t>
  </si>
  <si>
    <t>Givenchy Reserve Privée</t>
  </si>
  <si>
    <t xml:space="preserve">Valentino Donna Born in Roma Intense </t>
  </si>
  <si>
    <t>PRECIO 10ML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</si>
</sst>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C$&quot;* #,##0.00_-;\-&quot;C$&quot;* #,##0.00_-;_-&quot;C$&quot;* &quot;-&quot;??_-;_-@_-"/>
  </numFmts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44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3" borderId="0" xfId="0" applyNumberFormat="1" applyFill="1" applyAlignment="1">
      <alignment horizontal="center" vertical="center"/>
    </xf>
    <xf numFmtId="0" fontId="0" fillId="3" borderId="0" xfId="0" applyFill="1"/>
    <xf numFmtId="44" fontId="0" fillId="4" borderId="0" xfId="0" applyNumberFormat="1" applyFill="1" applyAlignment="1">
      <alignment horizontal="center" vertical="center"/>
    </xf>
    <xf numFmtId="44" fontId="0" fillId="5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11">
    <dxf>
      <numFmt numFmtId="34" formatCode="_-&quot;C$&quot;* #,##0.00_-;\-&quot;C$&quot;* #,##0.00_-;_-&quot;C$&quot;* &quot;-&quot;??_-;_-@_-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numFmt numFmtId="34" formatCode="_-&quot;C$&quot;* #,##0.00_-;\-&quot;C$&quot;* #,##0.00_-;_-&quot;C$&quot;* &quot;-&quot;??_-;_-@_-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numFmt numFmtId="34" formatCode="_-&quot;C$&quot;* #,##0.00_-;\-&quot;C$&quot;* #,##0.00_-;_-&quot;C$&quot;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numFmt numFmtId="34" formatCode="_-&quot;C$&quot;* #,##0.00_-;\-&quot;C$&quot;* #,##0.00_-;_-&quot;C$&quot;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numFmt numFmtId="34" formatCode="_-&quot;C$&quot;* #,##0.00_-;\-&quot;C$&quot;* #,##0.00_-;_-&quot;C$&quot;* &quot;-&quot;??_-;_-@_-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numFmt numFmtId="34" formatCode="_-&quot;C$&quot;* #,##0.00_-;\-&quot;C$&quot;* #,##0.00_-;_-&quot;C$&quot;* &quot;-&quot;??_-;_-@_-"/>
      <alignment horizontal="center" vertical="center" textRotation="0" wrapText="0" indent="0" justifyLastLine="0" shrinkToFit="0" readingOrder="0"/>
    </dxf>
    <dxf>
      <numFmt numFmtId="34" formatCode="_-&quot;C$&quot;* #,##0.00_-;\-&quot;C$&quot;* #,##0.00_-;_-&quot;C$&quot;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A2CC5E-A771-4A84-96D1-0AAB70DBD89B}" name="Tabla1" displayName="Tabla1" ref="A2:K24" totalsRowShown="0" headerRowDxfId="10">
  <autoFilter ref="A2:K24" xr:uid="{66A2CC5E-A771-4A84-96D1-0AAB70DBD89B}"/>
  <tableColumns count="11">
    <tableColumn id="1" xr3:uid="{5C696766-37C3-4D52-B013-B54B567EBF24}" name="DESCRIPCIÓN"/>
    <tableColumn id="2" xr3:uid="{6DD93A0D-E011-472E-B388-40EB02D25907}" name="PRECIO" dataDxfId="9"/>
    <tableColumn id="3" xr3:uid="{F28FDB08-F8C5-40FC-8EF0-9BB513E42386}" name="INSUMOS" dataDxfId="8"/>
    <tableColumn id="4" xr3:uid="{5D2E2C25-9A64-421A-AD6E-FAFA9D86A59F}" name="ENVIO" dataDxfId="7"/>
    <tableColumn id="12" xr3:uid="{BF0F4677-236E-4426-9763-997C63333F61}" name="PRECIO2" dataDxfId="6">
      <calculatedColumnFormula>Tabla1[[#This Row],[PRECIO]]+Tabla1[[#This Row],[INSUMOS]]+Tabla1[[#This Row],[ENVIO]]</calculatedColumnFormula>
    </tableColumn>
    <tableColumn id="17" xr3:uid="{BFDA7056-D33B-48A7-B900-F87EEAA27064}" name="NETO" dataDxfId="5">
      <calculatedColumnFormula>Tabla1[[#This Row],[PRECIO2]]*1.07</calculatedColumnFormula>
    </tableColumn>
    <tableColumn id="5" xr3:uid="{15D1E291-A606-4174-B7C3-16412F59157A}" name="PRECIO ML" dataDxfId="4">
      <calculatedColumnFormula>Tabla1[[#This Row],[NETO]]/100</calculatedColumnFormula>
    </tableColumn>
    <tableColumn id="15" xr3:uid="{1E2C9F73-B986-430D-A271-3222AEF078BE}" name="PRECIO 5ML " dataDxfId="3">
      <calculatedColumnFormula>Tabla1[[#This Row],[NETO]]/20</calculatedColumnFormula>
    </tableColumn>
    <tableColumn id="11" xr3:uid="{03EB9695-05F3-4685-B1E5-C1640A4EE765}" name="PRECIO 10ML" dataDxfId="2">
      <calculatedColumnFormula>Tabla1[[#This Row],[NETO]]/10</calculatedColumnFormula>
    </tableColumn>
    <tableColumn id="8" xr3:uid="{EB41F98E-91BA-4AE3-BE5B-55BE1ECF69A5}" name="PRECIO NETO 5ML" dataDxfId="1">
      <calculatedColumnFormula>#REF!/(1-0.452)</calculatedColumnFormula>
    </tableColumn>
    <tableColumn id="9" xr3:uid="{5009783D-5491-4652-B584-14B7DC5398B6}" name="PRECIO NETO 10ML" dataDxfId="0">
      <calculatedColumnFormula>#REF!/(1-0.41)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06BD-3DF1-4C99-A582-7E72D132D24C}">
  <dimension ref="A1:L25"/>
  <sheetViews>
    <sheetView tabSelected="1" workbookViewId="0">
      <selection activeCell="K17" sqref="K17"/>
    </sheetView>
  </sheetViews>
  <sheetFormatPr baseColWidth="10" defaultRowHeight="14.4" x14ac:dyDescent="0.3"/>
  <cols>
    <col min="1" max="1" width="33.88671875" customWidth="1"/>
    <col min="2" max="5" width="11.5546875" customWidth="1"/>
    <col min="6" max="7" width="13.44140625" customWidth="1"/>
    <col min="9" max="9" width="13.44140625" customWidth="1"/>
    <col min="10" max="10" width="17.77734375" customWidth="1"/>
    <col min="11" max="11" width="18.21875" customWidth="1"/>
    <col min="12" max="13" width="17.77734375" customWidth="1"/>
    <col min="14" max="14" width="15.5546875" customWidth="1"/>
  </cols>
  <sheetData>
    <row r="1" spans="1:11" ht="34.799999999999997" customHeight="1" x14ac:dyDescent="0.3">
      <c r="H1" s="9" t="s">
        <v>17</v>
      </c>
      <c r="I1" s="9"/>
    </row>
    <row r="2" spans="1:11" ht="52.8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12</v>
      </c>
      <c r="F2" s="1" t="s">
        <v>8</v>
      </c>
      <c r="G2" s="1" t="s">
        <v>4</v>
      </c>
      <c r="H2" s="1" t="s">
        <v>16</v>
      </c>
      <c r="I2" s="1" t="s">
        <v>25</v>
      </c>
      <c r="J2" s="1" t="s">
        <v>5</v>
      </c>
      <c r="K2" s="1" t="s">
        <v>6</v>
      </c>
    </row>
    <row r="3" spans="1:11" ht="16.8" customHeight="1" x14ac:dyDescent="0.3">
      <c r="A3" s="4" t="s">
        <v>7</v>
      </c>
      <c r="B3" s="2">
        <v>2150</v>
      </c>
      <c r="C3" s="2">
        <v>733</v>
      </c>
      <c r="D3" s="2">
        <v>185</v>
      </c>
      <c r="E3" s="2">
        <f>Tabla1[[#This Row],[PRECIO]]+Tabla1[[#This Row],[INSUMOS]]+Tabla1[[#This Row],[ENVIO]]</f>
        <v>3068</v>
      </c>
      <c r="F3" s="3">
        <f>Tabla1[[#This Row],[PRECIO2]]*1.07</f>
        <v>3282.76</v>
      </c>
      <c r="G3" s="5">
        <f>Tabla1[[#This Row],[NETO]]/100</f>
        <v>32.827600000000004</v>
      </c>
      <c r="H3" s="7">
        <f>Tabla1[[#This Row],[NETO]]/20</f>
        <v>164.13800000000001</v>
      </c>
      <c r="I3" s="7">
        <f>Tabla1[[#This Row],[NETO]]/10</f>
        <v>328.27600000000001</v>
      </c>
      <c r="J3" s="8">
        <v>275</v>
      </c>
      <c r="K3" s="8">
        <v>510</v>
      </c>
    </row>
    <row r="4" spans="1:11" x14ac:dyDescent="0.3">
      <c r="A4" s="4" t="s">
        <v>9</v>
      </c>
      <c r="B4" s="2">
        <v>3186</v>
      </c>
      <c r="C4" s="2">
        <v>733</v>
      </c>
      <c r="D4" s="2">
        <v>185</v>
      </c>
      <c r="E4" s="2">
        <f>Tabla1[[#This Row],[PRECIO]]+Tabla1[[#This Row],[INSUMOS]]+Tabla1[[#This Row],[ENVIO]]</f>
        <v>4104</v>
      </c>
      <c r="F4" s="3">
        <f>Tabla1[[#This Row],[PRECIO2]]*1.07</f>
        <v>4391.2800000000007</v>
      </c>
      <c r="G4" s="5">
        <f>Tabla1[[#This Row],[NETO]]/100</f>
        <v>43.912800000000004</v>
      </c>
      <c r="H4" s="7">
        <f>Tabla1[[#This Row],[NETO]]/20</f>
        <v>219.56400000000002</v>
      </c>
      <c r="I4" s="7">
        <f>Tabla1[[#This Row],[NETO]]/10</f>
        <v>439.12800000000004</v>
      </c>
      <c r="J4" s="8">
        <v>435</v>
      </c>
      <c r="K4" s="8">
        <v>785</v>
      </c>
    </row>
    <row r="5" spans="1:11" x14ac:dyDescent="0.3">
      <c r="A5" s="4" t="s">
        <v>10</v>
      </c>
      <c r="B5" s="2">
        <v>2820</v>
      </c>
      <c r="C5" s="2">
        <v>733</v>
      </c>
      <c r="D5" s="2">
        <v>185</v>
      </c>
      <c r="E5" s="2">
        <f>Tabla1[[#This Row],[PRECIO]]+Tabla1[[#This Row],[INSUMOS]]+Tabla1[[#This Row],[ENVIO]]</f>
        <v>3738</v>
      </c>
      <c r="F5" s="3">
        <f>Tabla1[[#This Row],[PRECIO2]]*1.07</f>
        <v>3999.6600000000003</v>
      </c>
      <c r="G5" s="5">
        <f>Tabla1[[#This Row],[NETO]]/100</f>
        <v>39.996600000000001</v>
      </c>
      <c r="H5" s="7">
        <f>Tabla1[[#This Row],[NETO]]/20</f>
        <v>199.983</v>
      </c>
      <c r="I5" s="7">
        <f>Tabla1[[#This Row],[NETO]]/10</f>
        <v>399.96600000000001</v>
      </c>
      <c r="J5" s="8">
        <v>450</v>
      </c>
      <c r="K5" s="8">
        <v>800</v>
      </c>
    </row>
    <row r="6" spans="1:11" x14ac:dyDescent="0.3">
      <c r="A6" s="4" t="s">
        <v>11</v>
      </c>
      <c r="B6" s="2">
        <v>2856</v>
      </c>
      <c r="C6" s="2">
        <v>733</v>
      </c>
      <c r="D6" s="2">
        <v>185</v>
      </c>
      <c r="E6" s="2">
        <f>Tabla1[[#This Row],[PRECIO]]+Tabla1[[#This Row],[INSUMOS]]+Tabla1[[#This Row],[ENVIO]]</f>
        <v>3774</v>
      </c>
      <c r="F6" s="3">
        <f>Tabla1[[#This Row],[PRECIO2]]*1.07</f>
        <v>4038.1800000000003</v>
      </c>
      <c r="G6" s="5">
        <f>Tabla1[[#This Row],[NETO]]/100</f>
        <v>40.381800000000005</v>
      </c>
      <c r="H6" s="7">
        <f>Tabla1[[#This Row],[NETO]]/20</f>
        <v>201.90900000000002</v>
      </c>
      <c r="I6" s="7">
        <f>Tabla1[[#This Row],[NETO]]/10</f>
        <v>403.81800000000004</v>
      </c>
      <c r="J6" s="8">
        <v>450</v>
      </c>
      <c r="K6" s="8">
        <v>800</v>
      </c>
    </row>
    <row r="7" spans="1:11" x14ac:dyDescent="0.3">
      <c r="A7" s="4" t="s">
        <v>13</v>
      </c>
      <c r="B7" s="2">
        <v>5274</v>
      </c>
      <c r="C7" s="2">
        <v>733</v>
      </c>
      <c r="D7" s="2">
        <v>185</v>
      </c>
      <c r="E7" s="2">
        <f>Tabla1[[#This Row],[PRECIO]]+Tabla1[[#This Row],[INSUMOS]]+Tabla1[[#This Row],[ENVIO]]</f>
        <v>6192</v>
      </c>
      <c r="F7" s="3">
        <f>Tabla1[[#This Row],[PRECIO2]]*1.07</f>
        <v>6625.4400000000005</v>
      </c>
      <c r="G7" s="5">
        <f>Tabla1[[#This Row],[NETO]]/100</f>
        <v>66.254400000000004</v>
      </c>
      <c r="H7" s="7">
        <f>Tabla1[[#This Row],[NETO]]/30</f>
        <v>220.84800000000001</v>
      </c>
      <c r="I7" s="7">
        <f>Tabla1[[#This Row],[NETO]]/15</f>
        <v>441.69600000000003</v>
      </c>
      <c r="J7" s="8">
        <v>450</v>
      </c>
      <c r="K7" s="8">
        <v>800</v>
      </c>
    </row>
    <row r="8" spans="1:11" x14ac:dyDescent="0.3">
      <c r="A8" s="4" t="s">
        <v>14</v>
      </c>
      <c r="B8" s="2">
        <v>2051</v>
      </c>
      <c r="C8" s="2">
        <v>733</v>
      </c>
      <c r="D8" s="2">
        <v>185</v>
      </c>
      <c r="E8" s="2">
        <f>Tabla1[[#This Row],[PRECIO]]+Tabla1[[#This Row],[INSUMOS]]+Tabla1[[#This Row],[ENVIO]]</f>
        <v>2969</v>
      </c>
      <c r="F8" s="3">
        <f>Tabla1[[#This Row],[PRECIO2]]*1.07</f>
        <v>3176.8300000000004</v>
      </c>
      <c r="G8" s="5">
        <f>Tabla1[[#This Row],[NETO]]/100</f>
        <v>31.768300000000004</v>
      </c>
      <c r="H8" s="7">
        <f>Tabla1[[#This Row],[NETO]]/20</f>
        <v>158.84150000000002</v>
      </c>
      <c r="I8" s="7">
        <f>Tabla1[[#This Row],[NETO]]/10</f>
        <v>317.68300000000005</v>
      </c>
      <c r="J8" s="8">
        <v>355</v>
      </c>
      <c r="K8" s="8">
        <v>670</v>
      </c>
    </row>
    <row r="9" spans="1:11" x14ac:dyDescent="0.3">
      <c r="A9" s="4" t="s">
        <v>15</v>
      </c>
      <c r="B9" s="2">
        <v>6592</v>
      </c>
      <c r="C9" s="2">
        <v>733</v>
      </c>
      <c r="D9" s="2">
        <v>185</v>
      </c>
      <c r="E9" s="2">
        <f>Tabla1[[#This Row],[PRECIO]]+Tabla1[[#This Row],[INSUMOS]]+Tabla1[[#This Row],[ENVIO]]</f>
        <v>7510</v>
      </c>
      <c r="F9" s="3">
        <f>Tabla1[[#This Row],[PRECIO2]]*1.07</f>
        <v>8035.7000000000007</v>
      </c>
      <c r="G9" s="5">
        <f>Tabla1[[#This Row],[NETO]]/100</f>
        <v>80.357000000000014</v>
      </c>
      <c r="H9" s="7">
        <f>Tabla1[[#This Row],[NETO]]/20</f>
        <v>401.78500000000003</v>
      </c>
      <c r="I9" s="7">
        <f>Tabla1[[#This Row],[NETO]]/10</f>
        <v>803.57</v>
      </c>
      <c r="J9" s="8">
        <v>650</v>
      </c>
      <c r="K9" s="8">
        <v>1230</v>
      </c>
    </row>
    <row r="10" spans="1:11" x14ac:dyDescent="0.3">
      <c r="A10" s="4" t="s">
        <v>18</v>
      </c>
      <c r="B10" s="2">
        <v>2460</v>
      </c>
      <c r="C10" s="2">
        <v>733</v>
      </c>
      <c r="D10" s="2">
        <v>185</v>
      </c>
      <c r="E10" s="2">
        <f>Tabla1[[#This Row],[PRECIO]]+Tabla1[[#This Row],[INSUMOS]]+Tabla1[[#This Row],[ENVIO]]</f>
        <v>3378</v>
      </c>
      <c r="F10" s="3">
        <f>Tabla1[[#This Row],[PRECIO2]]*1.07</f>
        <v>3614.46</v>
      </c>
      <c r="G10" s="5">
        <f>Tabla1[[#This Row],[NETO]]/100</f>
        <v>36.144599999999997</v>
      </c>
      <c r="H10" s="7">
        <f>Tabla1[[#This Row],[NETO]]/20</f>
        <v>180.72300000000001</v>
      </c>
      <c r="I10" s="7">
        <f>Tabla1[[#This Row],[NETO]]/10</f>
        <v>361.44600000000003</v>
      </c>
      <c r="J10" s="8">
        <v>450</v>
      </c>
      <c r="K10" s="8">
        <v>800</v>
      </c>
    </row>
    <row r="11" spans="1:11" x14ac:dyDescent="0.3">
      <c r="A11" t="s">
        <v>19</v>
      </c>
      <c r="B11" s="2">
        <v>960</v>
      </c>
      <c r="C11" s="2">
        <v>733</v>
      </c>
      <c r="D11" s="2">
        <v>185</v>
      </c>
      <c r="E11" s="2">
        <f>Tabla1[[#This Row],[PRECIO]]+Tabla1[[#This Row],[INSUMOS]]+Tabla1[[#This Row],[ENVIO]]</f>
        <v>1878</v>
      </c>
      <c r="F11" s="3">
        <f>Tabla1[[#This Row],[PRECIO2]]*1.07</f>
        <v>2009.46</v>
      </c>
      <c r="G11" s="5">
        <f>Tabla1[[#This Row],[NETO]]/100</f>
        <v>20.0946</v>
      </c>
      <c r="H11" s="7">
        <f>Tabla1[[#This Row],[NETO]]/20</f>
        <v>100.473</v>
      </c>
      <c r="I11" s="7">
        <f>Tabla1[[#This Row],[NETO]]/10</f>
        <v>200.946</v>
      </c>
      <c r="J11" s="8">
        <v>275</v>
      </c>
      <c r="K11" s="8">
        <v>510</v>
      </c>
    </row>
    <row r="12" spans="1:11" x14ac:dyDescent="0.3">
      <c r="A12" t="s">
        <v>20</v>
      </c>
      <c r="B12" s="2">
        <v>5310</v>
      </c>
      <c r="C12" s="2">
        <v>733</v>
      </c>
      <c r="D12" s="2">
        <v>185</v>
      </c>
      <c r="E12" s="2">
        <f>Tabla1[[#This Row],[PRECIO]]+Tabla1[[#This Row],[INSUMOS]]+Tabla1[[#This Row],[ENVIO]]</f>
        <v>6228</v>
      </c>
      <c r="F12" s="3">
        <f>Tabla1[[#This Row],[PRECIO2]]*1.07</f>
        <v>6663.96</v>
      </c>
      <c r="G12" s="5">
        <f>Tabla1[[#This Row],[NETO]]/100</f>
        <v>66.639600000000002</v>
      </c>
      <c r="H12" s="7">
        <f>Tabla1[[#This Row],[NETO]]/20</f>
        <v>333.19799999999998</v>
      </c>
      <c r="I12" s="7">
        <f>Tabla1[[#This Row],[NETO]]/10</f>
        <v>666.39599999999996</v>
      </c>
      <c r="J12" s="8">
        <v>475</v>
      </c>
      <c r="K12" s="8">
        <v>900</v>
      </c>
    </row>
    <row r="13" spans="1:11" x14ac:dyDescent="0.3">
      <c r="A13" t="s">
        <v>22</v>
      </c>
      <c r="B13" s="2">
        <v>2015</v>
      </c>
      <c r="C13" s="2">
        <v>733</v>
      </c>
      <c r="D13" s="2"/>
      <c r="E13" s="2">
        <f>Tabla1[[#This Row],[PRECIO]]+Tabla1[[#This Row],[INSUMOS]]+Tabla1[[#This Row],[ENVIO]]</f>
        <v>2748</v>
      </c>
      <c r="F13" s="3">
        <f>Tabla1[[#This Row],[PRECIO2]]*1.07</f>
        <v>2940.36</v>
      </c>
      <c r="G13" s="5">
        <f>Tabla1[[#This Row],[NETO]]/100</f>
        <v>29.403600000000001</v>
      </c>
      <c r="H13" s="7">
        <f>Tabla1[[#This Row],[NETO]]/20</f>
        <v>147.018</v>
      </c>
      <c r="I13" s="7">
        <f>Tabla1[[#This Row],[NETO]]/10</f>
        <v>294.036</v>
      </c>
      <c r="J13" s="8">
        <v>275</v>
      </c>
      <c r="K13" s="8">
        <v>510</v>
      </c>
    </row>
    <row r="14" spans="1:11" x14ac:dyDescent="0.3">
      <c r="A14" t="s">
        <v>21</v>
      </c>
      <c r="B14" s="2">
        <v>1690</v>
      </c>
      <c r="C14" s="2">
        <v>733</v>
      </c>
      <c r="D14" s="2"/>
      <c r="E14" s="2">
        <f>Tabla1[[#This Row],[PRECIO]]+Tabla1[[#This Row],[INSUMOS]]+Tabla1[[#This Row],[ENVIO]]</f>
        <v>2423</v>
      </c>
      <c r="F14" s="3">
        <f>Tabla1[[#This Row],[PRECIO2]]*1.07</f>
        <v>2592.61</v>
      </c>
      <c r="G14" s="5">
        <f>Tabla1[[#This Row],[NETO]]/100</f>
        <v>25.926100000000002</v>
      </c>
      <c r="H14" s="7">
        <f>Tabla1[[#This Row],[NETO]]/20</f>
        <v>129.63050000000001</v>
      </c>
      <c r="I14" s="7">
        <f>Tabla1[[#This Row],[NETO]]/10</f>
        <v>259.26100000000002</v>
      </c>
      <c r="J14" s="8">
        <v>275</v>
      </c>
      <c r="K14" s="8">
        <v>510</v>
      </c>
    </row>
    <row r="15" spans="1:11" x14ac:dyDescent="0.3">
      <c r="A15" t="s">
        <v>23</v>
      </c>
      <c r="B15" s="2">
        <v>3480</v>
      </c>
      <c r="C15" s="2">
        <v>733</v>
      </c>
      <c r="D15" s="2"/>
      <c r="E15" s="2">
        <f>Tabla1[[#This Row],[PRECIO]]+Tabla1[[#This Row],[INSUMOS]]+Tabla1[[#This Row],[ENVIO]]</f>
        <v>4213</v>
      </c>
      <c r="F15" s="3">
        <f>Tabla1[[#This Row],[PRECIO2]]*1.07</f>
        <v>4507.91</v>
      </c>
      <c r="G15" s="5">
        <f>Tabla1[[#This Row],[NETO]]/100</f>
        <v>45.079099999999997</v>
      </c>
      <c r="H15" s="7">
        <f>Tabla1[[#This Row],[NETO]]/20</f>
        <v>225.3955</v>
      </c>
      <c r="I15" s="7">
        <f>Tabla1[[#This Row],[NETO]]/10</f>
        <v>450.791</v>
      </c>
      <c r="J15" s="8">
        <v>435</v>
      </c>
      <c r="K15" s="8">
        <v>785</v>
      </c>
    </row>
    <row r="16" spans="1:11" x14ac:dyDescent="0.3">
      <c r="A16" t="s">
        <v>24</v>
      </c>
      <c r="B16" s="2">
        <v>3000</v>
      </c>
      <c r="C16" s="2">
        <v>733</v>
      </c>
      <c r="D16" s="2"/>
      <c r="E16" s="2">
        <f>Tabla1[[#This Row],[PRECIO]]+Tabla1[[#This Row],[INSUMOS]]+Tabla1[[#This Row],[ENVIO]]</f>
        <v>3733</v>
      </c>
      <c r="F16" s="3">
        <f>Tabla1[[#This Row],[PRECIO2]]*1.07</f>
        <v>3994.3100000000004</v>
      </c>
      <c r="G16" s="5">
        <f>Tabla1[[#This Row],[NETO]]/100</f>
        <v>39.943100000000001</v>
      </c>
      <c r="H16" s="7">
        <f>Tabla1[[#This Row],[NETO]]/20</f>
        <v>199.71550000000002</v>
      </c>
      <c r="I16" s="7">
        <f>Tabla1[[#This Row],[NETO]]/10</f>
        <v>399.43100000000004</v>
      </c>
      <c r="J16" s="8">
        <v>450</v>
      </c>
      <c r="K16" s="8">
        <v>800</v>
      </c>
    </row>
    <row r="17" spans="2:12" x14ac:dyDescent="0.3">
      <c r="B17" s="2"/>
      <c r="C17" s="2">
        <v>733</v>
      </c>
      <c r="D17" s="2"/>
      <c r="E17" s="2">
        <f>Tabla1[[#This Row],[PRECIO]]+Tabla1[[#This Row],[INSUMOS]]+Tabla1[[#This Row],[ENVIO]]</f>
        <v>733</v>
      </c>
      <c r="F17" s="3">
        <f>Tabla1[[#This Row],[PRECIO2]]*1.07</f>
        <v>784.31000000000006</v>
      </c>
      <c r="G17" s="5">
        <f>Tabla1[[#This Row],[NETO]]/100</f>
        <v>7.8431000000000006</v>
      </c>
      <c r="H17" s="7">
        <f>Tabla1[[#This Row],[NETO]]/20</f>
        <v>39.215500000000006</v>
      </c>
      <c r="I17" s="7">
        <f>Tabla1[[#This Row],[NETO]]/10</f>
        <v>78.431000000000012</v>
      </c>
      <c r="J17" s="8"/>
      <c r="K17" s="8"/>
    </row>
    <row r="18" spans="2:12" x14ac:dyDescent="0.3">
      <c r="B18" s="2"/>
      <c r="C18" s="2">
        <v>733</v>
      </c>
      <c r="D18" s="2"/>
      <c r="E18" s="2">
        <f>Tabla1[[#This Row],[PRECIO]]+Tabla1[[#This Row],[INSUMOS]]+Tabla1[[#This Row],[ENVIO]]</f>
        <v>733</v>
      </c>
      <c r="F18" s="3">
        <f>Tabla1[[#This Row],[PRECIO2]]*1.07</f>
        <v>784.31000000000006</v>
      </c>
      <c r="G18" s="5">
        <f>Tabla1[[#This Row],[NETO]]/100</f>
        <v>7.8431000000000006</v>
      </c>
      <c r="H18" s="7">
        <f>Tabla1[[#This Row],[NETO]]/20</f>
        <v>39.215500000000006</v>
      </c>
      <c r="I18" s="7">
        <f>Tabla1[[#This Row],[NETO]]/10</f>
        <v>78.431000000000012</v>
      </c>
      <c r="J18" s="8"/>
      <c r="K18" s="8"/>
    </row>
    <row r="19" spans="2:12" x14ac:dyDescent="0.3">
      <c r="B19" s="2"/>
      <c r="C19" s="2"/>
      <c r="D19" s="2"/>
      <c r="E19" s="2"/>
      <c r="F19" s="3"/>
      <c r="G19" s="5"/>
      <c r="H19" s="7"/>
      <c r="I19" s="7"/>
      <c r="J19" s="8"/>
      <c r="K19" s="8"/>
    </row>
    <row r="20" spans="2:12" x14ac:dyDescent="0.3">
      <c r="B20" s="2"/>
      <c r="C20" s="2"/>
      <c r="D20" s="2"/>
      <c r="E20" s="2"/>
      <c r="F20" s="3"/>
      <c r="G20" s="5"/>
      <c r="H20" s="7"/>
      <c r="I20" s="7"/>
      <c r="J20" s="8"/>
      <c r="K20" s="8"/>
    </row>
    <row r="21" spans="2:12" x14ac:dyDescent="0.3">
      <c r="B21" s="2"/>
      <c r="C21" s="2"/>
      <c r="D21" s="2"/>
      <c r="E21" s="2"/>
      <c r="F21" s="3"/>
      <c r="G21" s="5"/>
      <c r="H21" s="7"/>
      <c r="I21" s="7"/>
      <c r="J21" s="8"/>
      <c r="K21" s="8"/>
    </row>
    <row r="22" spans="2:12" x14ac:dyDescent="0.3">
      <c r="B22" s="2"/>
      <c r="C22" s="2"/>
      <c r="D22" s="2"/>
      <c r="E22" s="2"/>
      <c r="F22" s="3"/>
      <c r="G22" s="5"/>
      <c r="H22" s="7"/>
      <c r="I22" s="7"/>
      <c r="J22" s="8"/>
      <c r="K22" s="8"/>
    </row>
    <row r="23" spans="2:12" x14ac:dyDescent="0.3">
      <c r="B23" s="2"/>
      <c r="C23" s="2"/>
      <c r="D23" s="2"/>
      <c r="E23" s="2"/>
      <c r="F23" s="3"/>
      <c r="G23" s="5"/>
      <c r="H23" s="7"/>
      <c r="I23" s="7"/>
      <c r="J23" s="8"/>
      <c r="K23" s="8"/>
    </row>
    <row r="24" spans="2:12" x14ac:dyDescent="0.3">
      <c r="B24" s="2"/>
      <c r="C24" s="2"/>
      <c r="D24" s="2"/>
      <c r="E24" s="2"/>
      <c r="F24" s="3"/>
      <c r="G24" s="5"/>
      <c r="H24" s="7"/>
      <c r="I24" s="7"/>
      <c r="J24" s="8"/>
      <c r="K24" s="8"/>
    </row>
    <row r="25" spans="2:12" x14ac:dyDescent="0.3">
      <c r="K25" s="6"/>
      <c r="L25" s="6"/>
    </row>
  </sheetData>
  <mergeCells count="1">
    <mergeCell ref="H1:I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Maryfer Carrillo</dc:creator>
  <cp:lastModifiedBy>Maryfer Carrillo</cp:lastModifiedBy>
  <dcterms:created xsi:type="dcterms:W3CDTF">2025-09-26T19:07:16Z</dcterms:created>
  <dcterms:modified xsi:type="dcterms:W3CDTF">2026-04-24T16:53:11Z</dcterms:modified>
</cp:coreProperties>
</file>