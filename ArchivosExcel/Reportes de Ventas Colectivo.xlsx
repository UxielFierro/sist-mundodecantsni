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\OneDrive\Escritorio\MDN Colectivo\"/>
    </mc:Choice>
  </mc:AlternateContent>
  <xr:revisionPtr revIDLastSave="0" documentId="13_ncr:1_{99EC5482-FCD5-4239-B2B0-ADD63AA95C2C}" xr6:coauthVersionLast="47" xr6:coauthVersionMax="47" xr10:uidLastSave="{00000000-0000-0000-0000-000000000000}"/>
  <bookViews>
    <workbookView xWindow="-108" yWindow="-108" windowWidth="23256" windowHeight="12456" xr2:uid="{FF6D779A-1626-4368-B06D-4E2ABD221B1B}"/>
  </bookViews>
  <sheets>
    <sheet name="Abr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90" i="1"/>
  <c r="F84" i="1" l="1"/>
  <c r="F85" i="1"/>
  <c r="F86" i="1"/>
  <c r="F87" i="1"/>
  <c r="F88" i="1"/>
  <c r="F89" i="1"/>
  <c r="F82" i="1"/>
  <c r="F83" i="1"/>
  <c r="F31" i="1"/>
  <c r="F81" i="1" l="1"/>
  <c r="F80" i="1"/>
  <c r="F76" i="1"/>
  <c r="F77" i="1"/>
  <c r="F78" i="1"/>
  <c r="F79" i="1"/>
  <c r="F73" i="1"/>
  <c r="F74" i="1"/>
  <c r="F75" i="1"/>
  <c r="F72" i="1"/>
  <c r="F65" i="1"/>
  <c r="F66" i="1"/>
  <c r="F67" i="1"/>
  <c r="F68" i="1"/>
  <c r="F69" i="1"/>
  <c r="F71" i="1"/>
  <c r="F55" i="1"/>
  <c r="F56" i="1"/>
  <c r="F57" i="1"/>
  <c r="F58" i="1"/>
  <c r="F59" i="1"/>
  <c r="F60" i="1"/>
  <c r="F61" i="1"/>
  <c r="F62" i="1"/>
  <c r="F63" i="1"/>
  <c r="F64" i="1"/>
  <c r="F70" i="1"/>
  <c r="F54" i="1"/>
  <c r="F53" i="1"/>
  <c r="F4" i="1"/>
  <c r="F6" i="1"/>
  <c r="F7" i="1"/>
  <c r="F8" i="1"/>
  <c r="F9" i="1"/>
  <c r="F11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92" i="1" l="1"/>
</calcChain>
</file>

<file path=xl/sharedStrings.xml><?xml version="1.0" encoding="utf-8"?>
<sst xmlns="http://schemas.openxmlformats.org/spreadsheetml/2006/main" count="182" uniqueCount="179">
  <si>
    <t>Ventas Reportadas por el Colectivo</t>
  </si>
  <si>
    <t>Código Producto</t>
  </si>
  <si>
    <t>Descripción</t>
  </si>
  <si>
    <t>Entradas</t>
  </si>
  <si>
    <t>Salidas</t>
  </si>
  <si>
    <t>Stock</t>
  </si>
  <si>
    <t>MDN0001</t>
  </si>
  <si>
    <t>Xerjoff Torino 21</t>
  </si>
  <si>
    <t>MDN0003</t>
  </si>
  <si>
    <t>Xerjoff Naxos 1861</t>
  </si>
  <si>
    <t>MDN0005</t>
  </si>
  <si>
    <t>Xerjoff Erba Pura</t>
  </si>
  <si>
    <t>MDN0007</t>
  </si>
  <si>
    <t>Parfums de Marly Layton</t>
  </si>
  <si>
    <t>MDN0009</t>
  </si>
  <si>
    <t>BDK Parfums Gris Charnel EDP</t>
  </si>
  <si>
    <t>MDN0011</t>
  </si>
  <si>
    <t>BDK Parfums Citrus Riviera</t>
  </si>
  <si>
    <t>MDN0013</t>
  </si>
  <si>
    <t>BDK Parfums Sel d´Argent</t>
  </si>
  <si>
    <t>MDN0015</t>
  </si>
  <si>
    <t>Goldfield &amp; Banks Bohemian Lime</t>
  </si>
  <si>
    <t>MDN0017</t>
  </si>
  <si>
    <t>Mancera Red Tobbaco</t>
  </si>
  <si>
    <t>MDN0019</t>
  </si>
  <si>
    <t>Mancera Cedrat Boise EDP</t>
  </si>
  <si>
    <t>MDN0021</t>
  </si>
  <si>
    <t>Mancera Amore Caffé</t>
  </si>
  <si>
    <t>MDN0025</t>
  </si>
  <si>
    <t>Emporio Armani Stronger With You Intensly</t>
  </si>
  <si>
    <t>MDN0027</t>
  </si>
  <si>
    <t>Emporio Armani Stronger With You Absolutely</t>
  </si>
  <si>
    <t>MDN0029</t>
  </si>
  <si>
    <t>Jean Paul Gaultier Le Beau Le Parfum</t>
  </si>
  <si>
    <t>MDN0031</t>
  </si>
  <si>
    <t>Jean Paul Gaultier Le Male Le Parfum</t>
  </si>
  <si>
    <t>MDN0033</t>
  </si>
  <si>
    <t>Jean Paul Gaultier Le Male Elixir</t>
  </si>
  <si>
    <t>MDN0035</t>
  </si>
  <si>
    <t>Valentino Coral Fantasy</t>
  </si>
  <si>
    <t>MDN0037</t>
  </si>
  <si>
    <t>Valentino Born in Roma EDT</t>
  </si>
  <si>
    <t>MDN0039</t>
  </si>
  <si>
    <t>Valentino Uomo Intense</t>
  </si>
  <si>
    <t>MDN0041</t>
  </si>
  <si>
    <t>Giorgio Armani Acqua di Gió Profondo</t>
  </si>
  <si>
    <t>MDN0043</t>
  </si>
  <si>
    <t xml:space="preserve">Dolce&amp;Gabbana Light Blue Forever </t>
  </si>
  <si>
    <t>MDN0045</t>
  </si>
  <si>
    <t>Dolce&amp;Gabbana Light Blue Italian Love</t>
  </si>
  <si>
    <t>MDN0047</t>
  </si>
  <si>
    <t>Dolce&amp;Gabbana Light Blue Intense</t>
  </si>
  <si>
    <t>MDN0049</t>
  </si>
  <si>
    <t>Montblanc Legend Spirit</t>
  </si>
  <si>
    <t>MDN0051</t>
  </si>
  <si>
    <t>Montblanc Explorer</t>
  </si>
  <si>
    <t>MDN0053</t>
  </si>
  <si>
    <t>Montblanc Explorer Platinum</t>
  </si>
  <si>
    <t>MDN0055</t>
  </si>
  <si>
    <t>Guerlain Paris L´Homme Ideal EDP</t>
  </si>
  <si>
    <t>MDN0063</t>
  </si>
  <si>
    <t>Rasasi Hawas For Him</t>
  </si>
  <si>
    <t>MDN0065</t>
  </si>
  <si>
    <t>Rasasi Hawas Ice</t>
  </si>
  <si>
    <t>MDN0067</t>
  </si>
  <si>
    <t>Rasasi Hawas Fire</t>
  </si>
  <si>
    <t>MDN0069</t>
  </si>
  <si>
    <t xml:space="preserve">Afnan 9pm Rebel </t>
  </si>
  <si>
    <t>MDN0071</t>
  </si>
  <si>
    <t>Afnan 9pm</t>
  </si>
  <si>
    <t>MDN0073</t>
  </si>
  <si>
    <t>Lattafa Khamrah Qahwa</t>
  </si>
  <si>
    <t>MDN0077</t>
  </si>
  <si>
    <t>Armaf Odyssey Mandarin Sky</t>
  </si>
  <si>
    <t>MDN0083</t>
  </si>
  <si>
    <t>Lattafa Honor &amp; Glory</t>
  </si>
  <si>
    <t>MDN0085</t>
  </si>
  <si>
    <t>Burberry Her Elixir</t>
  </si>
  <si>
    <t>MDN0087</t>
  </si>
  <si>
    <t>Jean Paul Gaultier Scandal Le Parfum</t>
  </si>
  <si>
    <t>MDN0089</t>
  </si>
  <si>
    <t>Prada Paradoxe EDP</t>
  </si>
  <si>
    <t>MDN0091</t>
  </si>
  <si>
    <t>Yves Saint Laurent Black Opium OverRed</t>
  </si>
  <si>
    <t>MDN0093</t>
  </si>
  <si>
    <t xml:space="preserve">Ari Ariana Grande </t>
  </si>
  <si>
    <t>MDN0095</t>
  </si>
  <si>
    <t>Moschino Toy 2 Bubble Gum</t>
  </si>
  <si>
    <t>MDN0097</t>
  </si>
  <si>
    <t xml:space="preserve">Lattafa Yara Candy </t>
  </si>
  <si>
    <t>MDN0099</t>
  </si>
  <si>
    <t>Paris Corner Khair Confection</t>
  </si>
  <si>
    <t>MDN0101</t>
  </si>
  <si>
    <t xml:space="preserve">Paris Corner Khair Pistachio </t>
  </si>
  <si>
    <t>MDN0103</t>
  </si>
  <si>
    <t>Armaf Club De Nuit Untold</t>
  </si>
  <si>
    <t>MDN0109</t>
  </si>
  <si>
    <t>Valentino Coral Fantasy 100ml</t>
  </si>
  <si>
    <t>MDN0110</t>
  </si>
  <si>
    <t>Jeringas con Boquilla</t>
  </si>
  <si>
    <t>MDN0111</t>
  </si>
  <si>
    <t>Frascos Vacios 5ml</t>
  </si>
  <si>
    <t>Costo de Venta</t>
  </si>
  <si>
    <t>Valentino Born in Roma Intense</t>
  </si>
  <si>
    <t>MDN0113</t>
  </si>
  <si>
    <t>MDN0114</t>
  </si>
  <si>
    <t>MDN0112</t>
  </si>
  <si>
    <t>Frascos Vacios Negros 8ml</t>
  </si>
  <si>
    <t>MDN0116</t>
  </si>
  <si>
    <t>MDN0118</t>
  </si>
  <si>
    <t>MDN0120</t>
  </si>
  <si>
    <t>MDN0122</t>
  </si>
  <si>
    <t>MDN0124</t>
  </si>
  <si>
    <t>MDN0126</t>
  </si>
  <si>
    <t>MDN0128</t>
  </si>
  <si>
    <t>MDN0130</t>
  </si>
  <si>
    <t>MDN0132</t>
  </si>
  <si>
    <t>MDN0134</t>
  </si>
  <si>
    <t>MDN0136</t>
  </si>
  <si>
    <t>MDN0139</t>
  </si>
  <si>
    <t>MDN0148</t>
  </si>
  <si>
    <t>Jo Milano Game of Spades Wildcard</t>
  </si>
  <si>
    <t>Prada Prada L'Homme</t>
  </si>
  <si>
    <t>Rasasi Hawas Black</t>
  </si>
  <si>
    <t>Armaf Odyssey Limoni</t>
  </si>
  <si>
    <t>Lattafa Khamrah Dukhan</t>
  </si>
  <si>
    <t>French Avenue Azzure Aoud</t>
  </si>
  <si>
    <t>Valentino Donna Coral Fantasy</t>
  </si>
  <si>
    <t>Rabanne Fame Intense</t>
  </si>
  <si>
    <t>Jo Milano Game of Spades Blind Bid</t>
  </si>
  <si>
    <t>Zimaya Tiramisu Caramel</t>
  </si>
  <si>
    <t>Versace Eros Flame</t>
  </si>
  <si>
    <t xml:space="preserve">Club de Nuit Urban Man Elixir </t>
  </si>
  <si>
    <t>Creed Virgin Island Water</t>
  </si>
  <si>
    <t>MDN0150</t>
  </si>
  <si>
    <t>Bolsas resellables</t>
  </si>
  <si>
    <t>MDN0155</t>
  </si>
  <si>
    <t>Hawas for Him</t>
  </si>
  <si>
    <t>MDN0152</t>
  </si>
  <si>
    <t>MDN0156</t>
  </si>
  <si>
    <t>MDN0157</t>
  </si>
  <si>
    <t>MDN0158</t>
  </si>
  <si>
    <t>MDN0159</t>
  </si>
  <si>
    <t>MDN0160</t>
  </si>
  <si>
    <t>MDN0161</t>
  </si>
  <si>
    <t>MDN0162</t>
  </si>
  <si>
    <t>MDN0163</t>
  </si>
  <si>
    <t>MDN0164</t>
  </si>
  <si>
    <t>Parfums de Marly Sandley</t>
  </si>
  <si>
    <t>Yves Saint Laurent Y EDP</t>
  </si>
  <si>
    <t>Frascos 10ml</t>
  </si>
  <si>
    <t>Hawas Kobra</t>
  </si>
  <si>
    <t>Burberry Her EDP</t>
  </si>
  <si>
    <t>Jazz Club Replica</t>
  </si>
  <si>
    <t>By the Fireplace Replica</t>
  </si>
  <si>
    <t>Dispensadores</t>
  </si>
  <si>
    <t>MDN0165</t>
  </si>
  <si>
    <t>MDN0166</t>
  </si>
  <si>
    <t>MDN0167</t>
  </si>
  <si>
    <t>MDN0168</t>
  </si>
  <si>
    <t>MDN0169</t>
  </si>
  <si>
    <t>MDN0170</t>
  </si>
  <si>
    <t>MDN0171</t>
  </si>
  <si>
    <t>MDN0172</t>
  </si>
  <si>
    <t>MDN0173</t>
  </si>
  <si>
    <t>MDN0174</t>
  </si>
  <si>
    <t>Yves Saint Laurent Myself EDP</t>
  </si>
  <si>
    <t>Dolce&amp;Gabbana The One EDP</t>
  </si>
  <si>
    <t>Xerjoff Erba Gold</t>
  </si>
  <si>
    <t>MDN0057</t>
  </si>
  <si>
    <t>Jesus Del Pozo Halloween Man X</t>
  </si>
  <si>
    <t>Azzaro The Most Wanted Parfum EDP</t>
  </si>
  <si>
    <t>Bentley Intense EDP</t>
  </si>
  <si>
    <t>Vulcan Feu French Avenue</t>
  </si>
  <si>
    <t>Hawas Eclat</t>
  </si>
  <si>
    <t>Givenchy Reserve Privée</t>
  </si>
  <si>
    <t>Frascos 5ml docena</t>
  </si>
  <si>
    <t>Valentino Donna Born in Roma Intense</t>
  </si>
  <si>
    <t>Al 15 de 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</si>
</sst>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C$&quot;* #,##0.00_-;\-&quot;C$&quot;* #,##0.00_-;_-&quot;C$&quot;* &quot;-&quot;??_-;_-@_-"/>
    <numFmt numFmtId="43" formatCode="_-* #,##0.00_-;\-* #,##0.00_-;_-* &quot;-&quot;??_-;_-@_-"/>
    <numFmt numFmtId="164" formatCode="_-[$C$-4C0A]* #,##0.00_-;\-[$C$-4C0A]* #,##0.00_-;_-[$C$-4C0A]* &quot;-&quot;??_-;_-@_-"/>
  </numFmts>
  <fonts count="7" x14ac:knownFonts="1">
    <font>
      <sz val="11"/>
      <color theme="1"/>
      <name val="Aptos Narrow"/>
      <family val="2"/>
      <scheme val="minor"/>
    </font>
    <font>
      <sz val="22"/>
      <color theme="1"/>
      <name val="Amasis MT Pro Black"/>
      <family val="1"/>
    </font>
    <font>
      <sz val="11"/>
      <color theme="1"/>
      <name val="Aptos Narrow"/>
      <family val="2"/>
      <scheme val="minor"/>
    </font>
    <font>
      <sz val="12"/>
      <name val="Calibri"/>
      <family val="2"/>
    </font>
    <font>
      <sz val="8"/>
      <name val="Aptos Narrow"/>
      <family val="2"/>
      <scheme val="minor"/>
    </font>
    <font>
      <sz val="16"/>
      <color theme="1"/>
      <name val="Amasis MT Pro Black"/>
      <family val="1"/>
    </font>
    <font>
      <sz val="12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6699"/>
        <bgColor theme="0" tint="-0.34998626667073579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164" fontId="3" fillId="0" borderId="0" xfId="2" applyNumberFormat="1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3" fillId="4" borderId="0" xfId="0" applyFont="1" applyFill="1" applyAlignment="1">
      <alignment horizontal="center" vertical="center"/>
    </xf>
    <xf numFmtId="0" fontId="3" fillId="4" borderId="0" xfId="0" applyFont="1" applyFill="1"/>
    <xf numFmtId="164" fontId="3" fillId="4" borderId="0" xfId="2" applyNumberFormat="1" applyFont="1" applyFill="1" applyAlignment="1">
      <alignment horizontal="center"/>
    </xf>
    <xf numFmtId="1" fontId="3" fillId="4" borderId="0" xfId="1" applyNumberFormat="1" applyFon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3" fillId="2" borderId="1" xfId="0" applyFont="1" applyFill="1" applyBorder="1"/>
    <xf numFmtId="44" fontId="3" fillId="2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/>
    <xf numFmtId="44" fontId="3" fillId="3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/>
    <xf numFmtId="164" fontId="3" fillId="5" borderId="0" xfId="2" applyNumberFormat="1" applyFont="1" applyFill="1" applyAlignment="1">
      <alignment horizontal="center"/>
    </xf>
    <xf numFmtId="1" fontId="3" fillId="5" borderId="0" xfId="1" applyNumberFormat="1" applyFon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64" fontId="3" fillId="0" borderId="0" xfId="2" applyNumberFormat="1" applyFont="1" applyFill="1" applyAlignment="1">
      <alignment horizontal="center"/>
    </xf>
    <xf numFmtId="1" fontId="3" fillId="0" borderId="0" xfId="1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/>
    <xf numFmtId="164" fontId="3" fillId="6" borderId="0" xfId="2" applyNumberFormat="1" applyFont="1" applyFill="1" applyAlignment="1">
      <alignment horizontal="center"/>
    </xf>
    <xf numFmtId="1" fontId="3" fillId="6" borderId="0" xfId="1" applyNumberFormat="1" applyFont="1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44" fontId="3" fillId="7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</cellXfs>
  <cellStyles count="3">
    <cellStyle name="Millares" xfId="1" builtinId="3"/>
    <cellStyle name="Moneda" xfId="2" builtinId="4"/>
    <cellStyle name="Normal" xfId="0" builtinId="0"/>
  </cellStyles>
  <dxfs count="9">
    <dxf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EA0431-05C6-49FF-9F12-F5B303304BF6}" name="Tabla1" displayName="Tabla1" ref="A3:F92" totalsRowCount="1" headerRowDxfId="8">
  <autoFilter ref="A3:F91" xr:uid="{88EA0431-05C6-49FF-9F12-F5B303304BF6}"/>
  <tableColumns count="6">
    <tableColumn id="1" xr3:uid="{4F930E18-B256-434F-8A2B-50E422190ECE}" name="Código Producto" dataDxfId="7" totalsRowDxfId="3"/>
    <tableColumn id="2" xr3:uid="{C4421F9E-E9FE-4C43-9D73-1763E882DBEA}" name="Descripción"/>
    <tableColumn id="4" xr3:uid="{1D8DF138-403E-4734-A2E8-DBD4FCFBE6E6}" name="Costo de Venta"/>
    <tableColumn id="5" xr3:uid="{7B39670A-3765-424B-B97D-38C177643969}" name="Entradas" dataDxfId="6" totalsRowDxfId="2"/>
    <tableColumn id="3" xr3:uid="{56AF51F3-1548-4AC9-A829-341048BEA9F9}" name="Salidas" dataDxfId="5" totalsRowDxfId="1" dataCellStyle="Millares"/>
    <tableColumn id="6" xr3:uid="{1B7556AA-ADC8-4904-8E3A-57C6A3AA6031}" name="Stock" totalsRowFunction="custom" dataDxfId="4" totalsRowDxfId="0">
      <calculatedColumnFormula>Tabla1[[#This Row],[Entradas]]-Tabla1[[#This Row],[Salidas]]</calculatedColumnFormula>
      <totalsRowFormula>SUM(F4:F90)</totalsRow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2558-B084-43E1-9FCB-FEB14CFA1A09}">
  <dimension ref="A1:G92"/>
  <sheetViews>
    <sheetView tabSelected="1" workbookViewId="0">
      <selection activeCell="F73" sqref="F73"/>
    </sheetView>
  </sheetViews>
  <sheetFormatPr baseColWidth="10" defaultRowHeight="14.4" x14ac:dyDescent="0.3"/>
  <cols>
    <col min="1" max="1" width="19.109375" bestFit="1" customWidth="1"/>
    <col min="2" max="2" width="45" bestFit="1" customWidth="1"/>
    <col min="3" max="3" width="21.44140625" customWidth="1"/>
    <col min="4" max="4" width="17.77734375" bestFit="1" customWidth="1"/>
    <col min="5" max="5" width="17.77734375" customWidth="1"/>
    <col min="6" max="6" width="15.88671875" bestFit="1" customWidth="1"/>
    <col min="7" max="7" width="16.33203125" bestFit="1" customWidth="1"/>
  </cols>
  <sheetData>
    <row r="1" spans="1:7" ht="14.4" customHeight="1" x14ac:dyDescent="0.6">
      <c r="A1" s="35" t="s">
        <v>0</v>
      </c>
      <c r="B1" s="35"/>
      <c r="C1" s="35"/>
      <c r="D1" s="35"/>
      <c r="E1" s="36" t="s">
        <v>178</v>
      </c>
      <c r="F1" s="36"/>
      <c r="G1" s="8"/>
    </row>
    <row r="2" spans="1:7" ht="33.6" customHeight="1" x14ac:dyDescent="0.6">
      <c r="A2" s="35"/>
      <c r="B2" s="35"/>
      <c r="C2" s="35"/>
      <c r="D2" s="35"/>
      <c r="E2" s="36"/>
      <c r="F2" s="36"/>
      <c r="G2" s="8"/>
    </row>
    <row r="3" spans="1:7" ht="31.2" customHeight="1" x14ac:dyDescent="0.3">
      <c r="A3" s="1" t="s">
        <v>1</v>
      </c>
      <c r="B3" s="1" t="s">
        <v>2</v>
      </c>
      <c r="C3" s="1" t="s">
        <v>102</v>
      </c>
      <c r="D3" s="1" t="s">
        <v>3</v>
      </c>
      <c r="E3" s="1" t="s">
        <v>4</v>
      </c>
      <c r="F3" s="1" t="s">
        <v>5</v>
      </c>
    </row>
    <row r="4" spans="1:7" ht="15.6" x14ac:dyDescent="0.3">
      <c r="A4" s="6" t="s">
        <v>6</v>
      </c>
      <c r="B4" s="2" t="s">
        <v>7</v>
      </c>
      <c r="C4" s="3">
        <v>670</v>
      </c>
      <c r="D4" s="4">
        <v>7</v>
      </c>
      <c r="E4" s="4">
        <v>1</v>
      </c>
      <c r="F4" s="5">
        <f>Tabla1[[#This Row],[Entradas]]-Tabla1[[#This Row],[Salidas]]</f>
        <v>6</v>
      </c>
    </row>
    <row r="5" spans="1:7" ht="15.6" x14ac:dyDescent="0.3">
      <c r="A5" s="6" t="s">
        <v>8</v>
      </c>
      <c r="B5" s="2" t="s">
        <v>9</v>
      </c>
      <c r="C5" s="3">
        <v>630</v>
      </c>
      <c r="D5" s="4">
        <v>3</v>
      </c>
      <c r="E5" s="4">
        <v>1</v>
      </c>
      <c r="F5" s="5">
        <f>Tabla1[[#This Row],[Entradas]]-Tabla1[[#This Row],[Salidas]]</f>
        <v>2</v>
      </c>
    </row>
    <row r="6" spans="1:7" ht="15.6" x14ac:dyDescent="0.3">
      <c r="A6" s="9" t="s">
        <v>10</v>
      </c>
      <c r="B6" s="10" t="s">
        <v>11</v>
      </c>
      <c r="C6" s="11">
        <v>630</v>
      </c>
      <c r="D6" s="12">
        <v>0</v>
      </c>
      <c r="E6" s="12"/>
      <c r="F6" s="13">
        <f>Tabla1[[#This Row],[Entradas]]-Tabla1[[#This Row],[Salidas]]</f>
        <v>0</v>
      </c>
    </row>
    <row r="7" spans="1:7" ht="15.6" x14ac:dyDescent="0.3">
      <c r="A7" s="6" t="s">
        <v>12</v>
      </c>
      <c r="B7" s="2" t="s">
        <v>13</v>
      </c>
      <c r="C7" s="3">
        <v>590</v>
      </c>
      <c r="D7" s="4">
        <v>10</v>
      </c>
      <c r="E7" s="4"/>
      <c r="F7" s="5">
        <f>Tabla1[[#This Row],[Entradas]]-Tabla1[[#This Row],[Salidas]]</f>
        <v>10</v>
      </c>
    </row>
    <row r="8" spans="1:7" ht="15.6" x14ac:dyDescent="0.3">
      <c r="A8" s="9" t="s">
        <v>14</v>
      </c>
      <c r="B8" s="10" t="s">
        <v>15</v>
      </c>
      <c r="C8" s="11">
        <v>550</v>
      </c>
      <c r="D8" s="12">
        <v>0</v>
      </c>
      <c r="E8" s="12"/>
      <c r="F8" s="13">
        <f>Tabla1[[#This Row],[Entradas]]-Tabla1[[#This Row],[Salidas]]</f>
        <v>0</v>
      </c>
    </row>
    <row r="9" spans="1:7" ht="15.6" x14ac:dyDescent="0.3">
      <c r="A9" s="6" t="s">
        <v>16</v>
      </c>
      <c r="B9" s="2" t="s">
        <v>17</v>
      </c>
      <c r="C9" s="3">
        <v>510</v>
      </c>
      <c r="D9" s="4">
        <v>3</v>
      </c>
      <c r="E9" s="4">
        <v>1</v>
      </c>
      <c r="F9" s="5">
        <f>Tabla1[[#This Row],[Entradas]]-Tabla1[[#This Row],[Salidas]]</f>
        <v>2</v>
      </c>
    </row>
    <row r="10" spans="1:7" ht="15.6" x14ac:dyDescent="0.3">
      <c r="A10" s="6" t="s">
        <v>18</v>
      </c>
      <c r="B10" s="2" t="s">
        <v>19</v>
      </c>
      <c r="C10" s="3">
        <v>510</v>
      </c>
      <c r="D10" s="4">
        <v>2</v>
      </c>
      <c r="E10" s="4"/>
      <c r="F10" s="5">
        <v>2</v>
      </c>
    </row>
    <row r="11" spans="1:7" ht="15.6" x14ac:dyDescent="0.3">
      <c r="A11" s="9" t="s">
        <v>20</v>
      </c>
      <c r="B11" s="10" t="s">
        <v>21</v>
      </c>
      <c r="C11" s="11">
        <v>510</v>
      </c>
      <c r="D11" s="12">
        <v>0</v>
      </c>
      <c r="E11" s="12"/>
      <c r="F11" s="13">
        <f>Tabla1[[#This Row],[Entradas]]-Tabla1[[#This Row],[Salidas]]</f>
        <v>0</v>
      </c>
    </row>
    <row r="12" spans="1:7" ht="15.6" x14ac:dyDescent="0.3">
      <c r="A12" s="6" t="s">
        <v>22</v>
      </c>
      <c r="B12" s="2" t="s">
        <v>23</v>
      </c>
      <c r="C12" s="3">
        <v>375</v>
      </c>
      <c r="D12" s="4">
        <v>5</v>
      </c>
      <c r="E12" s="4">
        <v>1</v>
      </c>
      <c r="F12" s="5">
        <v>4</v>
      </c>
    </row>
    <row r="13" spans="1:7" ht="15.6" x14ac:dyDescent="0.3">
      <c r="A13" s="9" t="s">
        <v>24</v>
      </c>
      <c r="B13" s="10" t="s">
        <v>25</v>
      </c>
      <c r="C13" s="11">
        <v>360</v>
      </c>
      <c r="D13" s="12">
        <v>0</v>
      </c>
      <c r="E13" s="12"/>
      <c r="F13" s="13">
        <f>Tabla1[[#This Row],[Entradas]]-Tabla1[[#This Row],[Salidas]]</f>
        <v>0</v>
      </c>
    </row>
    <row r="14" spans="1:7" ht="15.6" x14ac:dyDescent="0.3">
      <c r="A14" s="28" t="s">
        <v>26</v>
      </c>
      <c r="B14" s="29" t="s">
        <v>27</v>
      </c>
      <c r="C14" s="30">
        <v>360</v>
      </c>
      <c r="D14" s="31">
        <v>13</v>
      </c>
      <c r="E14" s="31">
        <v>1</v>
      </c>
      <c r="F14" s="32">
        <f>Tabla1[[#This Row],[Entradas]]-Tabla1[[#This Row],[Salidas]]</f>
        <v>12</v>
      </c>
    </row>
    <row r="15" spans="1:7" ht="15.6" x14ac:dyDescent="0.3">
      <c r="A15" s="6" t="s">
        <v>28</v>
      </c>
      <c r="B15" s="2" t="s">
        <v>29</v>
      </c>
      <c r="C15" s="3">
        <v>400</v>
      </c>
      <c r="D15" s="4">
        <v>6</v>
      </c>
      <c r="E15" s="4"/>
      <c r="F15" s="5">
        <f>Tabla1[[#This Row],[Entradas]]-Tabla1[[#This Row],[Salidas]]</f>
        <v>6</v>
      </c>
    </row>
    <row r="16" spans="1:7" ht="15.6" x14ac:dyDescent="0.3">
      <c r="A16" s="6" t="s">
        <v>30</v>
      </c>
      <c r="B16" s="2" t="s">
        <v>31</v>
      </c>
      <c r="C16" s="3">
        <v>435</v>
      </c>
      <c r="D16" s="4">
        <v>10</v>
      </c>
      <c r="E16" s="4"/>
      <c r="F16" s="5">
        <f>Tabla1[[#This Row],[Entradas]]-Tabla1[[#This Row],[Salidas]]</f>
        <v>10</v>
      </c>
    </row>
    <row r="17" spans="1:6" ht="15.6" x14ac:dyDescent="0.3">
      <c r="A17" s="6" t="s">
        <v>32</v>
      </c>
      <c r="B17" s="2" t="s">
        <v>33</v>
      </c>
      <c r="C17" s="3">
        <v>400</v>
      </c>
      <c r="D17" s="4">
        <v>9</v>
      </c>
      <c r="E17" s="4"/>
      <c r="F17" s="5">
        <f>Tabla1[[#This Row],[Entradas]]-Tabla1[[#This Row],[Salidas]]</f>
        <v>9</v>
      </c>
    </row>
    <row r="18" spans="1:6" ht="15.6" x14ac:dyDescent="0.3">
      <c r="A18" s="6" t="s">
        <v>34</v>
      </c>
      <c r="B18" s="2" t="s">
        <v>35</v>
      </c>
      <c r="C18" s="3">
        <v>355</v>
      </c>
      <c r="D18" s="4">
        <v>3</v>
      </c>
      <c r="E18" s="4">
        <v>1</v>
      </c>
      <c r="F18" s="5">
        <f>Tabla1[[#This Row],[Entradas]]-Tabla1[[#This Row],[Salidas]]</f>
        <v>2</v>
      </c>
    </row>
    <row r="19" spans="1:6" ht="15.6" x14ac:dyDescent="0.3">
      <c r="A19" s="9" t="s">
        <v>36</v>
      </c>
      <c r="B19" s="10" t="s">
        <v>37</v>
      </c>
      <c r="C19" s="11">
        <v>400</v>
      </c>
      <c r="D19" s="12"/>
      <c r="E19" s="12"/>
      <c r="F19" s="13">
        <f>Tabla1[[#This Row],[Entradas]]-Tabla1[[#This Row],[Salidas]]</f>
        <v>0</v>
      </c>
    </row>
    <row r="20" spans="1:6" ht="15.6" x14ac:dyDescent="0.3">
      <c r="A20" s="6" t="s">
        <v>38</v>
      </c>
      <c r="B20" s="2" t="s">
        <v>39</v>
      </c>
      <c r="C20" s="3">
        <v>435</v>
      </c>
      <c r="D20" s="4">
        <v>12</v>
      </c>
      <c r="E20" s="4">
        <v>3</v>
      </c>
      <c r="F20" s="5">
        <f>Tabla1[[#This Row],[Entradas]]-Tabla1[[#This Row],[Salidas]]</f>
        <v>9</v>
      </c>
    </row>
    <row r="21" spans="1:6" ht="15.6" x14ac:dyDescent="0.3">
      <c r="A21" s="6" t="s">
        <v>40</v>
      </c>
      <c r="B21" s="2" t="s">
        <v>41</v>
      </c>
      <c r="C21" s="3">
        <v>400</v>
      </c>
      <c r="D21" s="4">
        <v>6</v>
      </c>
      <c r="E21" s="4"/>
      <c r="F21" s="5">
        <f>Tabla1[[#This Row],[Entradas]]-Tabla1[[#This Row],[Salidas]]</f>
        <v>6</v>
      </c>
    </row>
    <row r="22" spans="1:6" ht="15.6" x14ac:dyDescent="0.3">
      <c r="A22" s="6" t="s">
        <v>42</v>
      </c>
      <c r="B22" s="2" t="s">
        <v>43</v>
      </c>
      <c r="C22" s="3">
        <v>400</v>
      </c>
      <c r="D22" s="4">
        <v>5</v>
      </c>
      <c r="E22" s="4"/>
      <c r="F22" s="5">
        <f>Tabla1[[#This Row],[Entradas]]-Tabla1[[#This Row],[Salidas]]</f>
        <v>5</v>
      </c>
    </row>
    <row r="23" spans="1:6" ht="15.6" x14ac:dyDescent="0.3">
      <c r="A23" s="9" t="s">
        <v>44</v>
      </c>
      <c r="B23" s="10" t="s">
        <v>45</v>
      </c>
      <c r="C23" s="11">
        <v>355</v>
      </c>
      <c r="D23" s="12">
        <v>0</v>
      </c>
      <c r="E23" s="12"/>
      <c r="F23" s="13">
        <f>Tabla1[[#This Row],[Entradas]]-Tabla1[[#This Row],[Salidas]]</f>
        <v>0</v>
      </c>
    </row>
    <row r="24" spans="1:6" ht="15.6" x14ac:dyDescent="0.3">
      <c r="A24" s="19" t="s">
        <v>46</v>
      </c>
      <c r="B24" s="20" t="s">
        <v>47</v>
      </c>
      <c r="C24" s="21">
        <v>435</v>
      </c>
      <c r="D24" s="22">
        <v>1</v>
      </c>
      <c r="E24" s="22"/>
      <c r="F24" s="23">
        <f>Tabla1[[#This Row],[Entradas]]-Tabla1[[#This Row],[Salidas]]</f>
        <v>1</v>
      </c>
    </row>
    <row r="25" spans="1:6" ht="15.6" x14ac:dyDescent="0.3">
      <c r="A25" s="9" t="s">
        <v>48</v>
      </c>
      <c r="B25" s="10" t="s">
        <v>49</v>
      </c>
      <c r="C25" s="11">
        <v>435</v>
      </c>
      <c r="D25" s="12"/>
      <c r="E25" s="12"/>
      <c r="F25" s="13">
        <f>Tabla1[[#This Row],[Entradas]]-Tabla1[[#This Row],[Salidas]]</f>
        <v>0</v>
      </c>
    </row>
    <row r="26" spans="1:6" ht="15.6" x14ac:dyDescent="0.3">
      <c r="A26" s="19" t="s">
        <v>50</v>
      </c>
      <c r="B26" s="20" t="s">
        <v>51</v>
      </c>
      <c r="C26" s="21">
        <v>275</v>
      </c>
      <c r="D26" s="22">
        <v>5</v>
      </c>
      <c r="E26" s="22"/>
      <c r="F26" s="23">
        <f>Tabla1[[#This Row],[Entradas]]-Tabla1[[#This Row],[Salidas]]</f>
        <v>5</v>
      </c>
    </row>
    <row r="27" spans="1:6" ht="15.6" x14ac:dyDescent="0.3">
      <c r="A27" s="6" t="s">
        <v>52</v>
      </c>
      <c r="B27" s="2" t="s">
        <v>53</v>
      </c>
      <c r="C27" s="3">
        <v>240</v>
      </c>
      <c r="D27" s="4">
        <v>7</v>
      </c>
      <c r="E27" s="4"/>
      <c r="F27" s="5">
        <f>Tabla1[[#This Row],[Entradas]]-Tabla1[[#This Row],[Salidas]]</f>
        <v>7</v>
      </c>
    </row>
    <row r="28" spans="1:6" ht="15.6" x14ac:dyDescent="0.3">
      <c r="A28" s="6" t="s">
        <v>54</v>
      </c>
      <c r="B28" s="2" t="s">
        <v>55</v>
      </c>
      <c r="C28" s="3">
        <v>315</v>
      </c>
      <c r="D28" s="4">
        <v>9</v>
      </c>
      <c r="E28" s="4">
        <v>2</v>
      </c>
      <c r="F28" s="5">
        <f>Tabla1[[#This Row],[Entradas]]-Tabla1[[#This Row],[Salidas]]</f>
        <v>7</v>
      </c>
    </row>
    <row r="29" spans="1:6" ht="15.6" x14ac:dyDescent="0.3">
      <c r="A29" s="9" t="s">
        <v>56</v>
      </c>
      <c r="B29" s="10" t="s">
        <v>57</v>
      </c>
      <c r="C29" s="11">
        <v>275</v>
      </c>
      <c r="D29" s="12"/>
      <c r="E29" s="12"/>
      <c r="F29" s="13">
        <f>Tabla1[[#This Row],[Entradas]]-Tabla1[[#This Row],[Salidas]]</f>
        <v>0</v>
      </c>
    </row>
    <row r="30" spans="1:6" ht="15.6" x14ac:dyDescent="0.3">
      <c r="A30" s="9" t="s">
        <v>58</v>
      </c>
      <c r="B30" s="10" t="s">
        <v>59</v>
      </c>
      <c r="C30" s="11">
        <v>355</v>
      </c>
      <c r="D30" s="12"/>
      <c r="E30" s="12"/>
      <c r="F30" s="13">
        <f>Tabla1[[#This Row],[Entradas]]-Tabla1[[#This Row],[Salidas]]</f>
        <v>0</v>
      </c>
    </row>
    <row r="31" spans="1:6" ht="15.6" x14ac:dyDescent="0.3">
      <c r="A31" s="7" t="s">
        <v>169</v>
      </c>
      <c r="B31" s="2" t="s">
        <v>170</v>
      </c>
      <c r="C31" s="24">
        <v>220</v>
      </c>
      <c r="D31" s="25">
        <v>4</v>
      </c>
      <c r="E31" s="25"/>
      <c r="F31" s="5">
        <f>Tabla1[[#This Row],[Entradas]]-Tabla1[[#This Row],[Salidas]]</f>
        <v>4</v>
      </c>
    </row>
    <row r="32" spans="1:6" ht="15.6" x14ac:dyDescent="0.3">
      <c r="A32" s="6" t="s">
        <v>60</v>
      </c>
      <c r="B32" s="2" t="s">
        <v>61</v>
      </c>
      <c r="C32" s="3">
        <v>240</v>
      </c>
      <c r="D32" s="4">
        <v>11</v>
      </c>
      <c r="E32" s="4">
        <v>1</v>
      </c>
      <c r="F32" s="5">
        <f>Tabla1[[#This Row],[Entradas]]-Tabla1[[#This Row],[Salidas]]</f>
        <v>10</v>
      </c>
    </row>
    <row r="33" spans="1:6" ht="15.6" x14ac:dyDescent="0.3">
      <c r="A33" s="9" t="s">
        <v>62</v>
      </c>
      <c r="B33" s="10" t="s">
        <v>63</v>
      </c>
      <c r="C33" s="11">
        <v>275</v>
      </c>
      <c r="D33" s="12"/>
      <c r="E33" s="12"/>
      <c r="F33" s="13">
        <f>Tabla1[[#This Row],[Entradas]]-Tabla1[[#This Row],[Salidas]]</f>
        <v>0</v>
      </c>
    </row>
    <row r="34" spans="1:6" ht="15.6" x14ac:dyDescent="0.3">
      <c r="A34" s="6" t="s">
        <v>64</v>
      </c>
      <c r="B34" s="2" t="s">
        <v>65</v>
      </c>
      <c r="C34" s="3">
        <v>275</v>
      </c>
      <c r="D34" s="4">
        <v>4</v>
      </c>
      <c r="E34" s="4">
        <v>1</v>
      </c>
      <c r="F34" s="5">
        <f>Tabla1[[#This Row],[Entradas]]-Tabla1[[#This Row],[Salidas]]</f>
        <v>3</v>
      </c>
    </row>
    <row r="35" spans="1:6" ht="15.6" x14ac:dyDescent="0.3">
      <c r="A35" s="9" t="s">
        <v>66</v>
      </c>
      <c r="B35" s="10" t="s">
        <v>67</v>
      </c>
      <c r="C35" s="11">
        <v>255</v>
      </c>
      <c r="D35" s="12"/>
      <c r="E35" s="12"/>
      <c r="F35" s="13">
        <f>Tabla1[[#This Row],[Entradas]]-Tabla1[[#This Row],[Salidas]]</f>
        <v>0</v>
      </c>
    </row>
    <row r="36" spans="1:6" ht="15.6" x14ac:dyDescent="0.3">
      <c r="A36" s="6" t="s">
        <v>68</v>
      </c>
      <c r="B36" s="2" t="s">
        <v>69</v>
      </c>
      <c r="C36" s="3">
        <v>220</v>
      </c>
      <c r="D36" s="4">
        <v>6</v>
      </c>
      <c r="E36" s="4">
        <v>1</v>
      </c>
      <c r="F36" s="5">
        <f>Tabla1[[#This Row],[Entradas]]-Tabla1[[#This Row],[Salidas]]</f>
        <v>5</v>
      </c>
    </row>
    <row r="37" spans="1:6" ht="15.6" x14ac:dyDescent="0.3">
      <c r="A37" s="9" t="s">
        <v>70</v>
      </c>
      <c r="B37" s="10" t="s">
        <v>71</v>
      </c>
      <c r="C37" s="11">
        <v>240</v>
      </c>
      <c r="D37" s="12">
        <v>1</v>
      </c>
      <c r="E37" s="12">
        <v>1</v>
      </c>
      <c r="F37" s="13">
        <f>Tabla1[[#This Row],[Entradas]]-Tabla1[[#This Row],[Salidas]]</f>
        <v>0</v>
      </c>
    </row>
    <row r="38" spans="1:6" ht="15.6" x14ac:dyDescent="0.3">
      <c r="A38" s="6" t="s">
        <v>72</v>
      </c>
      <c r="B38" s="2" t="s">
        <v>73</v>
      </c>
      <c r="C38" s="3">
        <v>220</v>
      </c>
      <c r="D38" s="4">
        <v>7</v>
      </c>
      <c r="E38" s="4">
        <v>1</v>
      </c>
      <c r="F38" s="5">
        <f>Tabla1[[#This Row],[Entradas]]-Tabla1[[#This Row],[Salidas]]</f>
        <v>6</v>
      </c>
    </row>
    <row r="39" spans="1:6" ht="15.6" x14ac:dyDescent="0.3">
      <c r="A39" s="6" t="s">
        <v>74</v>
      </c>
      <c r="B39" s="2" t="s">
        <v>75</v>
      </c>
      <c r="C39" s="3">
        <v>240</v>
      </c>
      <c r="D39" s="4">
        <v>5</v>
      </c>
      <c r="E39" s="4"/>
      <c r="F39" s="5">
        <f>Tabla1[[#This Row],[Entradas]]-Tabla1[[#This Row],[Salidas]]</f>
        <v>5</v>
      </c>
    </row>
    <row r="40" spans="1:6" ht="15.6" x14ac:dyDescent="0.3">
      <c r="A40" s="9" t="s">
        <v>76</v>
      </c>
      <c r="B40" s="10" t="s">
        <v>77</v>
      </c>
      <c r="C40" s="11">
        <v>435</v>
      </c>
      <c r="D40" s="12"/>
      <c r="E40" s="12"/>
      <c r="F40" s="13">
        <f>Tabla1[[#This Row],[Entradas]]-Tabla1[[#This Row],[Salidas]]</f>
        <v>0</v>
      </c>
    </row>
    <row r="41" spans="1:6" ht="15.6" x14ac:dyDescent="0.3">
      <c r="A41" s="6" t="s">
        <v>78</v>
      </c>
      <c r="B41" s="2" t="s">
        <v>79</v>
      </c>
      <c r="C41" s="3">
        <v>475</v>
      </c>
      <c r="D41" s="4">
        <v>1</v>
      </c>
      <c r="E41" s="4">
        <v>1</v>
      </c>
      <c r="F41" s="5">
        <f>Tabla1[[#This Row],[Entradas]]-Tabla1[[#This Row],[Salidas]]</f>
        <v>0</v>
      </c>
    </row>
    <row r="42" spans="1:6" ht="15.6" x14ac:dyDescent="0.3">
      <c r="A42" s="9" t="s">
        <v>80</v>
      </c>
      <c r="B42" s="10" t="s">
        <v>81</v>
      </c>
      <c r="C42" s="11">
        <v>475</v>
      </c>
      <c r="D42" s="12"/>
      <c r="E42" s="12"/>
      <c r="F42" s="13">
        <f>Tabla1[[#This Row],[Entradas]]-Tabla1[[#This Row],[Salidas]]</f>
        <v>0</v>
      </c>
    </row>
    <row r="43" spans="1:6" ht="15.6" x14ac:dyDescent="0.3">
      <c r="A43" s="9" t="s">
        <v>82</v>
      </c>
      <c r="B43" s="10" t="s">
        <v>83</v>
      </c>
      <c r="C43" s="11">
        <v>435</v>
      </c>
      <c r="D43" s="12"/>
      <c r="E43" s="12"/>
      <c r="F43" s="13">
        <f>Tabla1[[#This Row],[Entradas]]-Tabla1[[#This Row],[Salidas]]</f>
        <v>0</v>
      </c>
    </row>
    <row r="44" spans="1:6" ht="15.6" x14ac:dyDescent="0.3">
      <c r="A44" s="28" t="s">
        <v>84</v>
      </c>
      <c r="B44" s="29" t="s">
        <v>85</v>
      </c>
      <c r="C44" s="30">
        <v>275</v>
      </c>
      <c r="D44" s="31">
        <v>4</v>
      </c>
      <c r="E44" s="31"/>
      <c r="F44" s="32">
        <f>Tabla1[[#This Row],[Entradas]]-Tabla1[[#This Row],[Salidas]]</f>
        <v>4</v>
      </c>
    </row>
    <row r="45" spans="1:6" ht="15.6" x14ac:dyDescent="0.3">
      <c r="A45" s="28" t="s">
        <v>86</v>
      </c>
      <c r="B45" s="29" t="s">
        <v>87</v>
      </c>
      <c r="C45" s="30">
        <v>275</v>
      </c>
      <c r="D45" s="31">
        <v>6</v>
      </c>
      <c r="E45" s="31"/>
      <c r="F45" s="32">
        <f>Tabla1[[#This Row],[Entradas]]-Tabla1[[#This Row],[Salidas]]</f>
        <v>6</v>
      </c>
    </row>
    <row r="46" spans="1:6" ht="15.6" x14ac:dyDescent="0.3">
      <c r="A46" s="28" t="s">
        <v>88</v>
      </c>
      <c r="B46" s="29" t="s">
        <v>89</v>
      </c>
      <c r="C46" s="30">
        <v>275</v>
      </c>
      <c r="D46" s="31">
        <v>3</v>
      </c>
      <c r="E46" s="31"/>
      <c r="F46" s="32">
        <f>Tabla1[[#This Row],[Entradas]]-Tabla1[[#This Row],[Salidas]]</f>
        <v>3</v>
      </c>
    </row>
    <row r="47" spans="1:6" ht="15.6" x14ac:dyDescent="0.3">
      <c r="A47" s="28" t="s">
        <v>90</v>
      </c>
      <c r="B47" s="29" t="s">
        <v>91</v>
      </c>
      <c r="C47" s="30">
        <v>240</v>
      </c>
      <c r="D47" s="31">
        <v>2</v>
      </c>
      <c r="E47" s="31">
        <v>1</v>
      </c>
      <c r="F47" s="32">
        <f>Tabla1[[#This Row],[Entradas]]-Tabla1[[#This Row],[Salidas]]</f>
        <v>1</v>
      </c>
    </row>
    <row r="48" spans="1:6" ht="15.6" x14ac:dyDescent="0.3">
      <c r="A48" s="28" t="s">
        <v>92</v>
      </c>
      <c r="B48" s="29" t="s">
        <v>93</v>
      </c>
      <c r="C48" s="30">
        <v>240</v>
      </c>
      <c r="D48" s="31">
        <v>9</v>
      </c>
      <c r="E48" s="31"/>
      <c r="F48" s="32">
        <f>Tabla1[[#This Row],[Entradas]]-Tabla1[[#This Row],[Salidas]]</f>
        <v>9</v>
      </c>
    </row>
    <row r="49" spans="1:6" ht="15.6" x14ac:dyDescent="0.3">
      <c r="A49" s="9" t="s">
        <v>94</v>
      </c>
      <c r="B49" s="10" t="s">
        <v>95</v>
      </c>
      <c r="C49" s="11">
        <v>240</v>
      </c>
      <c r="D49" s="12"/>
      <c r="E49" s="12"/>
      <c r="F49" s="13">
        <f>Tabla1[[#This Row],[Entradas]]-Tabla1[[#This Row],[Salidas]]</f>
        <v>0</v>
      </c>
    </row>
    <row r="50" spans="1:6" ht="15.6" x14ac:dyDescent="0.3">
      <c r="A50" s="9" t="s">
        <v>96</v>
      </c>
      <c r="B50" s="10" t="s">
        <v>97</v>
      </c>
      <c r="C50" s="11">
        <v>5000</v>
      </c>
      <c r="D50" s="12"/>
      <c r="E50" s="12"/>
      <c r="F50" s="13">
        <f>Tabla1[[#This Row],[Entradas]]-Tabla1[[#This Row],[Salidas]]</f>
        <v>0</v>
      </c>
    </row>
    <row r="51" spans="1:6" ht="15.6" x14ac:dyDescent="0.3">
      <c r="A51" s="9" t="s">
        <v>98</v>
      </c>
      <c r="B51" s="10" t="s">
        <v>99</v>
      </c>
      <c r="C51" s="11">
        <v>50</v>
      </c>
      <c r="D51" s="12"/>
      <c r="E51" s="12"/>
      <c r="F51" s="13">
        <f>Tabla1[[#This Row],[Entradas]]-Tabla1[[#This Row],[Salidas]]</f>
        <v>0</v>
      </c>
    </row>
    <row r="52" spans="1:6" ht="15.6" x14ac:dyDescent="0.3">
      <c r="A52" s="6" t="s">
        <v>100</v>
      </c>
      <c r="B52" s="2" t="s">
        <v>101</v>
      </c>
      <c r="C52" s="3">
        <v>60</v>
      </c>
      <c r="D52" s="4">
        <v>43</v>
      </c>
      <c r="E52" s="4">
        <v>4</v>
      </c>
      <c r="F52" s="5">
        <f>Tabla1[[#This Row],[Entradas]]-Tabla1[[#This Row],[Salidas]]</f>
        <v>39</v>
      </c>
    </row>
    <row r="53" spans="1:6" ht="15.6" x14ac:dyDescent="0.3">
      <c r="A53" s="7" t="s">
        <v>106</v>
      </c>
      <c r="B53" s="2" t="s">
        <v>107</v>
      </c>
      <c r="C53" s="3">
        <v>250</v>
      </c>
      <c r="D53" s="5">
        <v>3</v>
      </c>
      <c r="E53" s="4"/>
      <c r="F53" s="5">
        <f>Tabla1[[#This Row],[Entradas]]-Tabla1[[#This Row],[Salidas]]</f>
        <v>3</v>
      </c>
    </row>
    <row r="54" spans="1:6" ht="15.6" x14ac:dyDescent="0.3">
      <c r="A54" s="7" t="s">
        <v>104</v>
      </c>
      <c r="B54" s="2" t="s">
        <v>103</v>
      </c>
      <c r="C54" s="3">
        <v>475</v>
      </c>
      <c r="D54" s="6">
        <v>7</v>
      </c>
      <c r="E54" s="6">
        <v>2</v>
      </c>
      <c r="F54" s="6">
        <f>Tabla1[[#This Row],[Entradas]]-Tabla1[[#This Row],[Salidas]]</f>
        <v>5</v>
      </c>
    </row>
    <row r="55" spans="1:6" ht="15.6" x14ac:dyDescent="0.3">
      <c r="A55" s="7" t="s">
        <v>105</v>
      </c>
      <c r="B55" s="2" t="s">
        <v>121</v>
      </c>
      <c r="C55" s="3">
        <v>355</v>
      </c>
      <c r="D55" s="6">
        <v>5</v>
      </c>
      <c r="E55" s="6"/>
      <c r="F55" s="6">
        <f>Tabla1[[#This Row],[Entradas]]-Tabla1[[#This Row],[Salidas]]</f>
        <v>5</v>
      </c>
    </row>
    <row r="56" spans="1:6" ht="15.6" x14ac:dyDescent="0.3">
      <c r="A56" s="7" t="s">
        <v>108</v>
      </c>
      <c r="B56" s="2" t="s">
        <v>122</v>
      </c>
      <c r="C56" s="3">
        <v>400</v>
      </c>
      <c r="D56" s="6">
        <v>3</v>
      </c>
      <c r="E56" s="6"/>
      <c r="F56" s="6">
        <f>Tabla1[[#This Row],[Entradas]]-Tabla1[[#This Row],[Salidas]]</f>
        <v>3</v>
      </c>
    </row>
    <row r="57" spans="1:6" ht="15.6" x14ac:dyDescent="0.3">
      <c r="A57" s="7" t="s">
        <v>109</v>
      </c>
      <c r="B57" s="2" t="s">
        <v>123</v>
      </c>
      <c r="C57" s="3">
        <v>275</v>
      </c>
      <c r="D57" s="6">
        <v>6</v>
      </c>
      <c r="E57" s="6"/>
      <c r="F57" s="6">
        <f>Tabla1[[#This Row],[Entradas]]-Tabla1[[#This Row],[Salidas]]</f>
        <v>6</v>
      </c>
    </row>
    <row r="58" spans="1:6" ht="15.6" x14ac:dyDescent="0.3">
      <c r="A58" s="7" t="s">
        <v>110</v>
      </c>
      <c r="B58" s="2" t="s">
        <v>124</v>
      </c>
      <c r="C58" s="3">
        <v>240</v>
      </c>
      <c r="D58" s="6">
        <v>6</v>
      </c>
      <c r="E58" s="6"/>
      <c r="F58" s="6">
        <f>Tabla1[[#This Row],[Entradas]]-Tabla1[[#This Row],[Salidas]]</f>
        <v>6</v>
      </c>
    </row>
    <row r="59" spans="1:6" ht="15.6" x14ac:dyDescent="0.3">
      <c r="A59" s="7" t="s">
        <v>111</v>
      </c>
      <c r="B59" s="2" t="s">
        <v>125</v>
      </c>
      <c r="C59" s="3">
        <v>275</v>
      </c>
      <c r="D59" s="6">
        <v>4</v>
      </c>
      <c r="E59" s="6"/>
      <c r="F59" s="6">
        <f>Tabla1[[#This Row],[Entradas]]-Tabla1[[#This Row],[Salidas]]</f>
        <v>4</v>
      </c>
    </row>
    <row r="60" spans="1:6" ht="15.6" x14ac:dyDescent="0.3">
      <c r="A60" s="7" t="s">
        <v>112</v>
      </c>
      <c r="B60" s="2" t="s">
        <v>126</v>
      </c>
      <c r="C60" s="3">
        <v>255</v>
      </c>
      <c r="D60" s="6">
        <v>3</v>
      </c>
      <c r="E60" s="6"/>
      <c r="F60" s="6">
        <f>Tabla1[[#This Row],[Entradas]]-Tabla1[[#This Row],[Salidas]]</f>
        <v>3</v>
      </c>
    </row>
    <row r="61" spans="1:6" ht="15.6" x14ac:dyDescent="0.3">
      <c r="A61" s="26" t="s">
        <v>113</v>
      </c>
      <c r="B61" s="10" t="s">
        <v>127</v>
      </c>
      <c r="C61" s="11">
        <v>475</v>
      </c>
      <c r="D61" s="9"/>
      <c r="E61" s="9"/>
      <c r="F61" s="9">
        <f>Tabla1[[#This Row],[Entradas]]-Tabla1[[#This Row],[Salidas]]</f>
        <v>0</v>
      </c>
    </row>
    <row r="62" spans="1:6" ht="15.6" x14ac:dyDescent="0.3">
      <c r="A62" s="33" t="s">
        <v>114</v>
      </c>
      <c r="B62" s="29" t="s">
        <v>128</v>
      </c>
      <c r="C62" s="30">
        <v>355</v>
      </c>
      <c r="D62" s="28">
        <v>2</v>
      </c>
      <c r="E62" s="28"/>
      <c r="F62" s="28">
        <f>Tabla1[[#This Row],[Entradas]]-Tabla1[[#This Row],[Salidas]]</f>
        <v>2</v>
      </c>
    </row>
    <row r="63" spans="1:6" ht="15.6" x14ac:dyDescent="0.3">
      <c r="A63" s="33" t="s">
        <v>115</v>
      </c>
      <c r="B63" s="29" t="s">
        <v>129</v>
      </c>
      <c r="C63" s="30">
        <v>355</v>
      </c>
      <c r="D63" s="28">
        <v>1</v>
      </c>
      <c r="E63" s="28"/>
      <c r="F63" s="28">
        <f>Tabla1[[#This Row],[Entradas]]-Tabla1[[#This Row],[Salidas]]</f>
        <v>1</v>
      </c>
    </row>
    <row r="64" spans="1:6" ht="15.6" x14ac:dyDescent="0.3">
      <c r="A64" s="33" t="s">
        <v>116</v>
      </c>
      <c r="B64" s="29" t="s">
        <v>130</v>
      </c>
      <c r="C64" s="30">
        <v>275</v>
      </c>
      <c r="D64" s="28">
        <v>7</v>
      </c>
      <c r="E64" s="28"/>
      <c r="F64" s="28">
        <f>Tabla1[[#This Row],[Entradas]]-Tabla1[[#This Row],[Salidas]]</f>
        <v>7</v>
      </c>
    </row>
    <row r="65" spans="1:6" ht="15.6" x14ac:dyDescent="0.3">
      <c r="A65" s="7" t="s">
        <v>117</v>
      </c>
      <c r="B65" s="2" t="s">
        <v>131</v>
      </c>
      <c r="C65" s="3">
        <v>400</v>
      </c>
      <c r="D65" s="6">
        <v>8</v>
      </c>
      <c r="E65" s="18">
        <v>1</v>
      </c>
      <c r="F65" s="6">
        <f>Tabla1[[#This Row],[Entradas]]-Tabla1[[#This Row],[Salidas]]</f>
        <v>7</v>
      </c>
    </row>
    <row r="66" spans="1:6" ht="15.6" x14ac:dyDescent="0.3">
      <c r="A66" s="7" t="s">
        <v>118</v>
      </c>
      <c r="B66" s="2" t="s">
        <v>132</v>
      </c>
      <c r="C66" s="3">
        <v>240</v>
      </c>
      <c r="D66" s="6">
        <v>4</v>
      </c>
      <c r="E66" s="18"/>
      <c r="F66" s="6">
        <f>Tabla1[[#This Row],[Entradas]]-Tabla1[[#This Row],[Salidas]]</f>
        <v>4</v>
      </c>
    </row>
    <row r="67" spans="1:6" ht="15.6" x14ac:dyDescent="0.3">
      <c r="A67" s="7" t="s">
        <v>119</v>
      </c>
      <c r="B67" s="2" t="s">
        <v>133</v>
      </c>
      <c r="C67" s="3">
        <v>700</v>
      </c>
      <c r="D67" s="6">
        <v>5</v>
      </c>
      <c r="E67" s="18">
        <v>3</v>
      </c>
      <c r="F67" s="6">
        <f>Tabla1[[#This Row],[Entradas]]-Tabla1[[#This Row],[Salidas]]</f>
        <v>2</v>
      </c>
    </row>
    <row r="68" spans="1:6" ht="15.6" x14ac:dyDescent="0.3">
      <c r="A68" s="7" t="s">
        <v>120</v>
      </c>
      <c r="B68" s="2" t="s">
        <v>176</v>
      </c>
      <c r="C68" s="3">
        <v>450</v>
      </c>
      <c r="D68" s="6">
        <v>10</v>
      </c>
      <c r="E68" s="18">
        <v>3</v>
      </c>
      <c r="F68" s="6">
        <f>Tabla1[[#This Row],[Entradas]]-Tabla1[[#This Row],[Salidas]]</f>
        <v>7</v>
      </c>
    </row>
    <row r="69" spans="1:6" ht="15.6" x14ac:dyDescent="0.3">
      <c r="A69" s="7" t="s">
        <v>134</v>
      </c>
      <c r="B69" s="2" t="s">
        <v>135</v>
      </c>
      <c r="C69" s="3">
        <v>120</v>
      </c>
      <c r="D69" s="6">
        <v>5</v>
      </c>
      <c r="E69" s="18">
        <v>3</v>
      </c>
      <c r="F69" s="6">
        <f>Tabla1[[#This Row],[Entradas]]-Tabla1[[#This Row],[Salidas]]</f>
        <v>2</v>
      </c>
    </row>
    <row r="70" spans="1:6" ht="15.6" x14ac:dyDescent="0.3">
      <c r="A70" s="26" t="s">
        <v>138</v>
      </c>
      <c r="B70" s="10" t="s">
        <v>99</v>
      </c>
      <c r="C70" s="11">
        <v>300</v>
      </c>
      <c r="D70" s="9"/>
      <c r="E70" s="9"/>
      <c r="F70" s="9">
        <f>Tabla1[[#This Row],[Entradas]]-Tabla1[[#This Row],[Salidas]]</f>
        <v>0</v>
      </c>
    </row>
    <row r="71" spans="1:6" ht="15.6" x14ac:dyDescent="0.3">
      <c r="A71" s="26" t="s">
        <v>136</v>
      </c>
      <c r="B71" s="10" t="s">
        <v>137</v>
      </c>
      <c r="C71" s="11">
        <v>2200</v>
      </c>
      <c r="D71" s="9"/>
      <c r="E71" s="27"/>
      <c r="F71" s="9">
        <f>Tabla1[[#This Row],[Entradas]]-Tabla1[[#This Row],[Salidas]]</f>
        <v>0</v>
      </c>
    </row>
    <row r="72" spans="1:6" ht="15.6" x14ac:dyDescent="0.3">
      <c r="A72" s="7" t="s">
        <v>139</v>
      </c>
      <c r="B72" s="14" t="s">
        <v>148</v>
      </c>
      <c r="C72" s="15">
        <v>590</v>
      </c>
      <c r="D72" s="6">
        <v>5</v>
      </c>
      <c r="E72" s="6">
        <v>4</v>
      </c>
      <c r="F72" s="6">
        <f>Tabla1[[#This Row],[Entradas]]-Tabla1[[#This Row],[Salidas]]</f>
        <v>1</v>
      </c>
    </row>
    <row r="73" spans="1:6" ht="15.6" x14ac:dyDescent="0.3">
      <c r="A73" s="7" t="s">
        <v>140</v>
      </c>
      <c r="B73" s="16" t="s">
        <v>149</v>
      </c>
      <c r="C73" s="17">
        <v>400</v>
      </c>
      <c r="D73" s="6">
        <v>3</v>
      </c>
      <c r="E73" s="6">
        <v>2</v>
      </c>
      <c r="F73" s="6">
        <f>Tabla1[[#This Row],[Entradas]]-Tabla1[[#This Row],[Salidas]]</f>
        <v>1</v>
      </c>
    </row>
    <row r="74" spans="1:6" ht="15.6" x14ac:dyDescent="0.3">
      <c r="A74" s="7" t="s">
        <v>141</v>
      </c>
      <c r="B74" s="2" t="s">
        <v>150</v>
      </c>
      <c r="C74" s="3">
        <v>80</v>
      </c>
      <c r="D74" s="6"/>
      <c r="E74" s="6"/>
      <c r="F74" s="6">
        <f>Tabla1[[#This Row],[Entradas]]-Tabla1[[#This Row],[Salidas]]</f>
        <v>0</v>
      </c>
    </row>
    <row r="75" spans="1:6" ht="15.6" x14ac:dyDescent="0.3">
      <c r="A75" s="7" t="s">
        <v>142</v>
      </c>
      <c r="B75" s="2" t="s">
        <v>150</v>
      </c>
      <c r="C75" s="3">
        <v>550</v>
      </c>
      <c r="D75" s="6">
        <v>6</v>
      </c>
      <c r="E75" s="6">
        <v>6</v>
      </c>
      <c r="F75" s="6">
        <f>Tabla1[[#This Row],[Entradas]]-Tabla1[[#This Row],[Salidas]]</f>
        <v>0</v>
      </c>
    </row>
    <row r="76" spans="1:6" ht="15.6" x14ac:dyDescent="0.3">
      <c r="A76" s="7" t="s">
        <v>143</v>
      </c>
      <c r="B76" s="2" t="s">
        <v>151</v>
      </c>
      <c r="C76" s="17">
        <v>275</v>
      </c>
      <c r="D76" s="6">
        <v>4</v>
      </c>
      <c r="E76" s="6"/>
      <c r="F76" s="6">
        <f>Tabla1[[#This Row],[Entradas]]-Tabla1[[#This Row],[Salidas]]</f>
        <v>4</v>
      </c>
    </row>
    <row r="77" spans="1:6" ht="15.6" x14ac:dyDescent="0.3">
      <c r="A77" s="33" t="s">
        <v>144</v>
      </c>
      <c r="B77" s="29" t="s">
        <v>152</v>
      </c>
      <c r="C77" s="34">
        <v>435</v>
      </c>
      <c r="D77" s="28">
        <v>3</v>
      </c>
      <c r="E77" s="28">
        <v>1</v>
      </c>
      <c r="F77" s="28">
        <f>Tabla1[[#This Row],[Entradas]]-Tabla1[[#This Row],[Salidas]]</f>
        <v>2</v>
      </c>
    </row>
    <row r="78" spans="1:6" ht="15.6" x14ac:dyDescent="0.3">
      <c r="A78" s="7" t="s">
        <v>145</v>
      </c>
      <c r="B78" s="2" t="s">
        <v>153</v>
      </c>
      <c r="C78" s="17">
        <v>450</v>
      </c>
      <c r="D78" s="6">
        <v>8</v>
      </c>
      <c r="E78" s="6"/>
      <c r="F78" s="6">
        <f>Tabla1[[#This Row],[Entradas]]-Tabla1[[#This Row],[Salidas]]</f>
        <v>8</v>
      </c>
    </row>
    <row r="79" spans="1:6" ht="15.6" x14ac:dyDescent="0.3">
      <c r="A79" s="7" t="s">
        <v>146</v>
      </c>
      <c r="B79" s="2" t="s">
        <v>154</v>
      </c>
      <c r="C79" s="17">
        <v>450</v>
      </c>
      <c r="D79" s="6">
        <v>8</v>
      </c>
      <c r="E79" s="6"/>
      <c r="F79" s="6">
        <f>Tabla1[[#This Row],[Entradas]]-Tabla1[[#This Row],[Salidas]]</f>
        <v>8</v>
      </c>
    </row>
    <row r="80" spans="1:6" ht="15.6" x14ac:dyDescent="0.3">
      <c r="A80" s="7" t="s">
        <v>147</v>
      </c>
      <c r="B80" s="2" t="s">
        <v>155</v>
      </c>
      <c r="C80" s="3">
        <v>250</v>
      </c>
      <c r="D80" s="6">
        <v>1</v>
      </c>
      <c r="E80" s="6">
        <v>1</v>
      </c>
      <c r="F80" s="6">
        <f>Tabla1[[#This Row],[Entradas]]-Tabla1[[#This Row],[Salidas]]</f>
        <v>0</v>
      </c>
    </row>
    <row r="81" spans="1:6" ht="15.6" x14ac:dyDescent="0.3">
      <c r="A81" s="26" t="s">
        <v>156</v>
      </c>
      <c r="B81" s="10" t="s">
        <v>155</v>
      </c>
      <c r="C81" s="11">
        <v>30</v>
      </c>
      <c r="D81" s="13"/>
      <c r="E81" s="12"/>
      <c r="F81" s="13">
        <f>Tabla1[[#This Row],[Entradas]]-Tabla1[[#This Row],[Salidas]]</f>
        <v>0</v>
      </c>
    </row>
    <row r="82" spans="1:6" ht="15.6" x14ac:dyDescent="0.3">
      <c r="A82" s="7" t="s">
        <v>157</v>
      </c>
      <c r="B82" s="2" t="s">
        <v>166</v>
      </c>
      <c r="C82" s="3">
        <v>450</v>
      </c>
      <c r="D82" s="5">
        <v>6</v>
      </c>
      <c r="E82" s="4"/>
      <c r="F82" s="5">
        <f>Tabla1[[#This Row],[Entradas]]-Tabla1[[#This Row],[Salidas]]</f>
        <v>6</v>
      </c>
    </row>
    <row r="83" spans="1:6" ht="15.6" x14ac:dyDescent="0.3">
      <c r="A83" s="7" t="s">
        <v>158</v>
      </c>
      <c r="B83" s="2" t="s">
        <v>167</v>
      </c>
      <c r="C83" s="3">
        <v>355</v>
      </c>
      <c r="D83" s="5">
        <v>10</v>
      </c>
      <c r="E83" s="4">
        <v>1</v>
      </c>
      <c r="F83" s="5">
        <f>Tabla1[[#This Row],[Entradas]]-Tabla1[[#This Row],[Salidas]]</f>
        <v>9</v>
      </c>
    </row>
    <row r="84" spans="1:6" ht="15.6" x14ac:dyDescent="0.3">
      <c r="A84" s="33" t="s">
        <v>159</v>
      </c>
      <c r="B84" s="29" t="s">
        <v>168</v>
      </c>
      <c r="C84" s="30">
        <v>650</v>
      </c>
      <c r="D84" s="32">
        <v>2</v>
      </c>
      <c r="E84" s="31">
        <v>2</v>
      </c>
      <c r="F84" s="32">
        <f>Tabla1[[#This Row],[Entradas]]-Tabla1[[#This Row],[Salidas]]</f>
        <v>0</v>
      </c>
    </row>
    <row r="85" spans="1:6" ht="15.6" x14ac:dyDescent="0.3">
      <c r="A85" s="7" t="s">
        <v>160</v>
      </c>
      <c r="B85" s="2" t="s">
        <v>171</v>
      </c>
      <c r="C85" s="3">
        <v>450</v>
      </c>
      <c r="D85" s="5">
        <v>10</v>
      </c>
      <c r="E85" s="4"/>
      <c r="F85" s="5">
        <f>Tabla1[[#This Row],[Entradas]]-Tabla1[[#This Row],[Salidas]]</f>
        <v>10</v>
      </c>
    </row>
    <row r="86" spans="1:6" ht="15.6" x14ac:dyDescent="0.3">
      <c r="A86" s="7" t="s">
        <v>161</v>
      </c>
      <c r="B86" s="2" t="s">
        <v>172</v>
      </c>
      <c r="C86" s="3">
        <v>275</v>
      </c>
      <c r="D86" s="5">
        <v>4</v>
      </c>
      <c r="E86" s="4">
        <v>1</v>
      </c>
      <c r="F86" s="5">
        <f>Tabla1[[#This Row],[Entradas]]-Tabla1[[#This Row],[Salidas]]</f>
        <v>3</v>
      </c>
    </row>
    <row r="87" spans="1:6" ht="15.6" x14ac:dyDescent="0.3">
      <c r="A87" s="7" t="s">
        <v>162</v>
      </c>
      <c r="B87" s="2" t="s">
        <v>173</v>
      </c>
      <c r="C87" s="3">
        <v>275</v>
      </c>
      <c r="D87" s="5">
        <v>10</v>
      </c>
      <c r="E87" s="4">
        <v>1</v>
      </c>
      <c r="F87" s="5">
        <f>Tabla1[[#This Row],[Entradas]]-Tabla1[[#This Row],[Salidas]]</f>
        <v>9</v>
      </c>
    </row>
    <row r="88" spans="1:6" ht="15.6" x14ac:dyDescent="0.3">
      <c r="A88" s="33" t="s">
        <v>163</v>
      </c>
      <c r="B88" s="29" t="s">
        <v>174</v>
      </c>
      <c r="C88" s="30">
        <v>275</v>
      </c>
      <c r="D88" s="32">
        <v>8</v>
      </c>
      <c r="E88" s="31"/>
      <c r="F88" s="32">
        <f>Tabla1[[#This Row],[Entradas]]-Tabla1[[#This Row],[Salidas]]</f>
        <v>8</v>
      </c>
    </row>
    <row r="89" spans="1:6" ht="15.6" x14ac:dyDescent="0.3">
      <c r="A89" s="7" t="s">
        <v>164</v>
      </c>
      <c r="B89" s="2" t="s">
        <v>175</v>
      </c>
      <c r="C89" s="3">
        <v>435</v>
      </c>
      <c r="D89" s="5">
        <v>8</v>
      </c>
      <c r="E89" s="4">
        <v>2</v>
      </c>
      <c r="F89" s="5">
        <f>Tabla1[[#This Row],[Entradas]]-Tabla1[[#This Row],[Salidas]]</f>
        <v>6</v>
      </c>
    </row>
    <row r="90" spans="1:6" ht="15.6" x14ac:dyDescent="0.3">
      <c r="A90" s="7" t="s">
        <v>165</v>
      </c>
      <c r="B90" s="2" t="s">
        <v>177</v>
      </c>
      <c r="C90" s="3">
        <v>450</v>
      </c>
      <c r="D90" s="5">
        <v>8</v>
      </c>
      <c r="E90" s="4">
        <v>1</v>
      </c>
      <c r="F90" s="5">
        <f>Tabla1[[#This Row],[Entradas]]-Tabla1[[#This Row],[Salidas]]</f>
        <v>7</v>
      </c>
    </row>
    <row r="91" spans="1:6" ht="15.6" x14ac:dyDescent="0.3">
      <c r="A91" s="7"/>
      <c r="C91" s="3"/>
      <c r="D91" s="5"/>
      <c r="E91" s="4"/>
      <c r="F91" s="5"/>
    </row>
    <row r="92" spans="1:6" ht="15.6" x14ac:dyDescent="0.3">
      <c r="A92" s="1"/>
      <c r="D92" s="5"/>
      <c r="E92" s="37"/>
      <c r="F92" s="5">
        <f>SUM(F4:F90)</f>
        <v>349</v>
      </c>
    </row>
  </sheetData>
  <mergeCells count="2">
    <mergeCell ref="A1:D2"/>
    <mergeCell ref="E1:F2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Maryfer Carrillo</dc:creator>
  <cp:lastModifiedBy>Maryfer Carrillo</cp:lastModifiedBy>
  <dcterms:created xsi:type="dcterms:W3CDTF">2025-03-29T21:10:54Z</dcterms:created>
  <dcterms:modified xsi:type="dcterms:W3CDTF">2026-04-24T16:52:54Z</dcterms:modified>
</cp:coreProperties>
</file>